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9.xml" ContentType="application/vnd.openxmlformats-officedocument.drawing+xml"/>
  <Override PartName="/xl/ctrlProps/ctrlProp13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0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11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12.xml" ContentType="application/vnd.openxmlformats-officedocument.drawing+xml"/>
  <Override PartName="/xl/ctrlProps/ctrlProp18.xml" ContentType="application/vnd.ms-excel.controlproperti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4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5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7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8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19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0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21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22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Work\XLPack\Tutorial\Tutorial_ja\Examples\"/>
    </mc:Choice>
  </mc:AlternateContent>
  <xr:revisionPtr revIDLastSave="0" documentId="13_ncr:1_{069BF613-A901-4C06-A2E3-05A0B679E010}" xr6:coauthVersionLast="47" xr6:coauthVersionMax="47" xr10:uidLastSave="{00000000-0000-0000-0000-000000000000}"/>
  <bookViews>
    <workbookView xWindow="870" yWindow="0" windowWidth="18330" windowHeight="11280" tabRatio="703" xr2:uid="{1F8E3B89-BA0B-485E-9813-1F065F3EE21D}"/>
  </bookViews>
  <sheets>
    <sheet name="Ex2" sheetId="1" r:id="rId1"/>
    <sheet name="Ex2W" sheetId="2" r:id="rId2"/>
    <sheet name="Ex2 (2)" sheetId="35" r:id="rId3"/>
    <sheet name="Ex2W (2)" sheetId="36" r:id="rId4"/>
    <sheet name="Ex3" sheetId="3" r:id="rId5"/>
    <sheet name="Ex3W" sheetId="4" r:id="rId6"/>
    <sheet name="Ex4" sheetId="5" r:id="rId7"/>
    <sheet name="Ex4W" sheetId="6" r:id="rId8"/>
    <sheet name="Ex5" sheetId="7" r:id="rId9"/>
    <sheet name="Ex5W" sheetId="8" r:id="rId10"/>
    <sheet name="Ex6" sheetId="9" r:id="rId11"/>
    <sheet name="Ex6W" sheetId="10" r:id="rId12"/>
    <sheet name="Ex7" sheetId="11" r:id="rId13"/>
    <sheet name="Ex7S" sheetId="15" r:id="rId14"/>
    <sheet name="Ex8" sheetId="12" r:id="rId15"/>
    <sheet name="Ex8S" sheetId="14" r:id="rId16"/>
    <sheet name="Ex8(2)" sheetId="28" r:id="rId17"/>
    <sheet name="Ex9" sheetId="13" r:id="rId18"/>
    <sheet name="Ex9S" sheetId="16" r:id="rId19"/>
    <sheet name="Ex10" sheetId="17" r:id="rId20"/>
    <sheet name="Ex10S" sheetId="18" r:id="rId21"/>
    <sheet name="Ex11" sheetId="19" r:id="rId22"/>
    <sheet name="Ex11S" sheetId="20" r:id="rId23"/>
    <sheet name="Ex11(2)" sheetId="27" r:id="rId24"/>
    <sheet name="Ex11W(2)" sheetId="21" r:id="rId25"/>
    <sheet name="Ex12" sheetId="22" r:id="rId26"/>
    <sheet name="Ex12S" sheetId="23" r:id="rId27"/>
    <sheet name="Ex12(2)" sheetId="29" r:id="rId28"/>
    <sheet name="Ex12S(2)" sheetId="34" r:id="rId29"/>
    <sheet name="Ex12(3)" sheetId="31" r:id="rId30"/>
    <sheet name="Ex12S(3)" sheetId="30" r:id="rId31"/>
    <sheet name="Ex13" sheetId="24" r:id="rId32"/>
    <sheet name="Ex14" sheetId="25" r:id="rId33"/>
    <sheet name="Ex14S" sheetId="26" r:id="rId34"/>
    <sheet name="Ex16" sheetId="33" r:id="rId3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" i="24" l="1"/>
  <c r="F7" i="24" s="1"/>
  <c r="F8" i="24" s="1"/>
  <c r="F9" i="24" s="1"/>
  <c r="F10" i="24" s="1"/>
  <c r="F11" i="24" s="1"/>
  <c r="F12" i="24" s="1"/>
  <c r="F13" i="24" s="1"/>
  <c r="F14" i="24" s="1"/>
  <c r="F15" i="24" s="1"/>
  <c r="F16" i="24" s="1"/>
  <c r="F17" i="24" s="1"/>
  <c r="F18" i="24" s="1"/>
  <c r="F19" i="24" s="1"/>
  <c r="F20" i="24" s="1"/>
  <c r="F21" i="24" s="1"/>
  <c r="F22" i="24" s="1"/>
  <c r="F23" i="24" s="1"/>
  <c r="F24" i="24" s="1"/>
  <c r="F25" i="24" s="1"/>
  <c r="F26" i="24" s="1"/>
  <c r="F27" i="24" s="1"/>
  <c r="F28" i="24" s="1"/>
  <c r="F29" i="24" s="1"/>
  <c r="F30" i="24" s="1"/>
  <c r="F31" i="24" s="1"/>
  <c r="F32" i="24" s="1"/>
  <c r="F33" i="24" s="1"/>
  <c r="F34" i="24" s="1"/>
  <c r="F35" i="24" s="1"/>
  <c r="F36" i="24" s="1"/>
  <c r="F37" i="24" s="1"/>
  <c r="F38" i="24" s="1"/>
  <c r="F39" i="24" s="1"/>
  <c r="F40" i="24" s="1"/>
  <c r="F41" i="24" s="1"/>
  <c r="F42" i="24" s="1"/>
  <c r="F43" i="24" s="1"/>
  <c r="F44" i="24" s="1"/>
  <c r="F45" i="24" s="1"/>
  <c r="F46" i="24" s="1"/>
  <c r="F47" i="24" s="1"/>
  <c r="F48" i="24" s="1"/>
  <c r="F49" i="24" s="1"/>
  <c r="F50" i="24" s="1"/>
  <c r="F51" i="24" s="1"/>
  <c r="F52" i="24" s="1"/>
  <c r="F53" i="24" s="1"/>
  <c r="F54" i="24" s="1"/>
  <c r="F55" i="24" s="1"/>
  <c r="F56" i="24" s="1"/>
  <c r="F57" i="24" s="1"/>
  <c r="F58" i="24" s="1"/>
  <c r="F59" i="24" s="1"/>
  <c r="F60" i="24" s="1"/>
  <c r="F61" i="24" s="1"/>
  <c r="F62" i="24" s="1"/>
  <c r="F63" i="24" s="1"/>
  <c r="F64" i="24" s="1"/>
  <c r="F65" i="24" s="1"/>
  <c r="F66" i="24" s="1"/>
  <c r="F67" i="24" s="1"/>
  <c r="F68" i="24" s="1"/>
  <c r="F69" i="24" s="1"/>
  <c r="F70" i="24" s="1"/>
  <c r="F71" i="24" s="1"/>
  <c r="F72" i="24" s="1"/>
  <c r="F73" i="24" s="1"/>
  <c r="F74" i="24" s="1"/>
  <c r="F75" i="24" s="1"/>
  <c r="F76" i="24" s="1"/>
  <c r="F77" i="24" s="1"/>
  <c r="F78" i="24" s="1"/>
  <c r="F79" i="24" s="1"/>
  <c r="F80" i="24" s="1"/>
  <c r="F81" i="24" s="1"/>
  <c r="F82" i="24" s="1"/>
  <c r="F83" i="24" s="1"/>
  <c r="F84" i="24" s="1"/>
  <c r="F85" i="24" s="1"/>
  <c r="F86" i="24" s="1"/>
  <c r="F87" i="24" s="1"/>
  <c r="F88" i="24" s="1"/>
  <c r="F89" i="24" s="1"/>
  <c r="F90" i="24" s="1"/>
  <c r="F91" i="24" s="1"/>
  <c r="F92" i="24" s="1"/>
  <c r="F93" i="24" s="1"/>
  <c r="F94" i="24" s="1"/>
  <c r="F95" i="24" s="1"/>
  <c r="F96" i="24" s="1"/>
  <c r="F97" i="24" s="1"/>
  <c r="F98" i="24" s="1"/>
  <c r="F99" i="24" s="1"/>
  <c r="F100" i="24" s="1"/>
  <c r="F101" i="24" s="1"/>
  <c r="F102" i="24" s="1"/>
  <c r="F103" i="24" s="1"/>
  <c r="F104" i="24" s="1"/>
  <c r="F105" i="24" s="1"/>
  <c r="F106" i="24" s="1"/>
  <c r="F107" i="24" s="1"/>
  <c r="F108" i="24" s="1"/>
  <c r="F109" i="24" s="1"/>
  <c r="F110" i="24" s="1"/>
  <c r="F111" i="24" s="1"/>
  <c r="F112" i="24" s="1"/>
  <c r="F113" i="24" s="1"/>
  <c r="F114" i="24" s="1"/>
  <c r="F115" i="24" s="1"/>
  <c r="F116" i="24" s="1"/>
  <c r="F117" i="24" s="1"/>
  <c r="F118" i="24" s="1"/>
  <c r="F119" i="24" s="1"/>
  <c r="F120" i="24" s="1"/>
  <c r="F121" i="24" s="1"/>
  <c r="F122" i="24" s="1"/>
  <c r="F123" i="24" s="1"/>
  <c r="F124" i="24" s="1"/>
  <c r="F125" i="24" s="1"/>
  <c r="F126" i="24" s="1"/>
  <c r="F127" i="24" s="1"/>
  <c r="F128" i="24" s="1"/>
  <c r="F129" i="24" s="1"/>
  <c r="F130" i="24" s="1"/>
  <c r="F131" i="24" s="1"/>
  <c r="F132" i="24" s="1"/>
  <c r="F133" i="24" s="1"/>
  <c r="F134" i="24" s="1"/>
  <c r="F135" i="24" s="1"/>
  <c r="F136" i="24" s="1"/>
  <c r="F137" i="24" s="1"/>
  <c r="F138" i="24" s="1"/>
  <c r="F139" i="24" s="1"/>
  <c r="F140" i="24" s="1"/>
  <c r="F141" i="24" s="1"/>
  <c r="F142" i="24" s="1"/>
  <c r="F143" i="24" s="1"/>
  <c r="F144" i="24" s="1"/>
  <c r="F145" i="24" s="1"/>
  <c r="F146" i="24" s="1"/>
  <c r="F147" i="24" s="1"/>
  <c r="F148" i="24" s="1"/>
  <c r="F149" i="24" s="1"/>
  <c r="F150" i="24" s="1"/>
  <c r="F151" i="24" s="1"/>
  <c r="F152" i="24" s="1"/>
  <c r="F153" i="24" s="1"/>
  <c r="F154" i="24" s="1"/>
  <c r="F155" i="24" s="1"/>
  <c r="F156" i="24" s="1"/>
  <c r="F157" i="24" s="1"/>
  <c r="F158" i="24" s="1"/>
  <c r="F159" i="24" s="1"/>
  <c r="F160" i="24" s="1"/>
  <c r="F161" i="24" s="1"/>
  <c r="F162" i="24" s="1"/>
  <c r="F163" i="24" s="1"/>
  <c r="F164" i="24" s="1"/>
  <c r="F165" i="24" s="1"/>
  <c r="F166" i="24" s="1"/>
  <c r="F167" i="24" s="1"/>
  <c r="F168" i="24" s="1"/>
  <c r="F169" i="24" s="1"/>
  <c r="F170" i="24" s="1"/>
  <c r="F171" i="24" s="1"/>
  <c r="F172" i="24" s="1"/>
  <c r="F173" i="24" s="1"/>
  <c r="F174" i="24" s="1"/>
  <c r="F175" i="24" s="1"/>
  <c r="F176" i="24" s="1"/>
  <c r="F177" i="24" s="1"/>
  <c r="F178" i="24" s="1"/>
  <c r="F179" i="24" s="1"/>
  <c r="F180" i="24" s="1"/>
  <c r="F181" i="24" s="1"/>
  <c r="F182" i="24" s="1"/>
  <c r="F183" i="24" s="1"/>
  <c r="F184" i="24" s="1"/>
  <c r="F185" i="24" s="1"/>
  <c r="F186" i="24" s="1"/>
  <c r="F187" i="24" s="1"/>
  <c r="F188" i="24" s="1"/>
  <c r="F189" i="24" s="1"/>
  <c r="F190" i="24" s="1"/>
  <c r="F191" i="24" s="1"/>
  <c r="F192" i="24" s="1"/>
  <c r="F193" i="24" s="1"/>
  <c r="F194" i="24" s="1"/>
  <c r="F195" i="24" s="1"/>
  <c r="F196" i="24" s="1"/>
  <c r="F197" i="24" s="1"/>
  <c r="F198" i="24" s="1"/>
  <c r="F199" i="24" s="1"/>
  <c r="F200" i="24" s="1"/>
  <c r="F201" i="24" s="1"/>
  <c r="F202" i="24" s="1"/>
  <c r="F203" i="24" s="1"/>
  <c r="F204" i="24" s="1"/>
  <c r="F205" i="24" s="1"/>
  <c r="F206" i="24" s="1"/>
  <c r="F207" i="24" s="1"/>
  <c r="F208" i="24" s="1"/>
  <c r="F209" i="24" s="1"/>
  <c r="F210" i="24" s="1"/>
  <c r="F211" i="24" s="1"/>
  <c r="F212" i="24" s="1"/>
  <c r="F213" i="24" s="1"/>
  <c r="F214" i="24" s="1"/>
  <c r="F215" i="24" s="1"/>
  <c r="F216" i="24" s="1"/>
  <c r="F217" i="24" s="1"/>
  <c r="F218" i="24" s="1"/>
  <c r="F219" i="24" s="1"/>
  <c r="F220" i="24" s="1"/>
  <c r="F221" i="24" s="1"/>
  <c r="F222" i="24" s="1"/>
  <c r="F223" i="24" s="1"/>
  <c r="F224" i="24" s="1"/>
  <c r="F225" i="24" s="1"/>
  <c r="F226" i="24" s="1"/>
  <c r="F227" i="24" s="1"/>
  <c r="F228" i="24" s="1"/>
  <c r="F229" i="24" s="1"/>
  <c r="F230" i="24" s="1"/>
  <c r="F231" i="24" s="1"/>
  <c r="F232" i="24" s="1"/>
  <c r="F233" i="24" s="1"/>
  <c r="F234" i="24" s="1"/>
  <c r="F235" i="24" s="1"/>
  <c r="F236" i="24" s="1"/>
  <c r="F237" i="24" s="1"/>
  <c r="F238" i="24" s="1"/>
  <c r="F239" i="24" s="1"/>
  <c r="F240" i="24" s="1"/>
  <c r="F241" i="24" s="1"/>
  <c r="F242" i="24" s="1"/>
  <c r="F243" i="24" s="1"/>
  <c r="F244" i="24" s="1"/>
  <c r="F245" i="24" s="1"/>
  <c r="F246" i="24" s="1"/>
  <c r="F247" i="24" s="1"/>
  <c r="F248" i="24" s="1"/>
  <c r="F249" i="24" s="1"/>
  <c r="F250" i="24" s="1"/>
  <c r="F251" i="24" s="1"/>
  <c r="F252" i="24" s="1"/>
  <c r="F253" i="24" s="1"/>
  <c r="F254" i="24" s="1"/>
  <c r="F255" i="24" s="1"/>
  <c r="F256" i="24" s="1"/>
  <c r="F257" i="24" s="1"/>
  <c r="F258" i="24" s="1"/>
  <c r="F259" i="24" s="1"/>
  <c r="F260" i="24" s="1"/>
  <c r="F261" i="24" s="1"/>
  <c r="F262" i="24" s="1"/>
  <c r="F263" i="24" s="1"/>
  <c r="F264" i="24" s="1"/>
  <c r="F265" i="24" s="1"/>
  <c r="F266" i="24" s="1"/>
  <c r="F267" i="24" s="1"/>
  <c r="F268" i="24" s="1"/>
  <c r="F269" i="24" s="1"/>
  <c r="F270" i="24" s="1"/>
  <c r="F271" i="24" s="1"/>
  <c r="F272" i="24" s="1"/>
  <c r="F273" i="24" s="1"/>
  <c r="F274" i="24" s="1"/>
  <c r="F275" i="24" s="1"/>
  <c r="F276" i="24" s="1"/>
  <c r="F277" i="24" s="1"/>
  <c r="F278" i="24" s="1"/>
  <c r="F279" i="24" s="1"/>
  <c r="F280" i="24" s="1"/>
  <c r="F281" i="24" s="1"/>
  <c r="F282" i="24" s="1"/>
  <c r="F283" i="24" s="1"/>
  <c r="F284" i="24" s="1"/>
  <c r="F285" i="24" s="1"/>
  <c r="F286" i="24" s="1"/>
  <c r="F287" i="24" s="1"/>
  <c r="F288" i="24" s="1"/>
  <c r="F289" i="24" s="1"/>
  <c r="F290" i="24" s="1"/>
  <c r="F291" i="24" s="1"/>
  <c r="F292" i="24" s="1"/>
  <c r="F293" i="24" s="1"/>
  <c r="F294" i="24" s="1"/>
  <c r="F295" i="24" s="1"/>
  <c r="F296" i="24" s="1"/>
  <c r="F297" i="24" s="1"/>
  <c r="F298" i="24" s="1"/>
  <c r="F299" i="24" s="1"/>
  <c r="F300" i="24" s="1"/>
  <c r="F301" i="24" s="1"/>
  <c r="F302" i="24" s="1"/>
  <c r="F303" i="24" s="1"/>
  <c r="F304" i="24" s="1"/>
  <c r="F305" i="24" s="1"/>
  <c r="F306" i="24" s="1"/>
  <c r="F307" i="24" s="1"/>
  <c r="F308" i="24" s="1"/>
  <c r="F309" i="24" s="1"/>
  <c r="F310" i="24" s="1"/>
  <c r="F311" i="24" s="1"/>
  <c r="F312" i="24" s="1"/>
  <c r="F313" i="24" s="1"/>
  <c r="F314" i="24" s="1"/>
  <c r="F315" i="24" s="1"/>
  <c r="F316" i="24" s="1"/>
  <c r="F317" i="24" s="1"/>
  <c r="F318" i="24" s="1"/>
  <c r="F319" i="24" s="1"/>
  <c r="F320" i="24" s="1"/>
  <c r="F321" i="24" s="1"/>
  <c r="F322" i="24" s="1"/>
  <c r="F323" i="24" s="1"/>
  <c r="F324" i="24" s="1"/>
  <c r="F325" i="24" s="1"/>
  <c r="F326" i="24" s="1"/>
  <c r="F327" i="24" s="1"/>
  <c r="F328" i="24" s="1"/>
  <c r="F329" i="24" s="1"/>
  <c r="F330" i="24" s="1"/>
  <c r="F331" i="24" s="1"/>
  <c r="F332" i="24" s="1"/>
  <c r="F333" i="24" s="1"/>
  <c r="F334" i="24" s="1"/>
  <c r="F335" i="24" s="1"/>
  <c r="F336" i="24" s="1"/>
  <c r="F337" i="24" s="1"/>
  <c r="F338" i="24" s="1"/>
  <c r="F339" i="24" s="1"/>
  <c r="F340" i="24" s="1"/>
  <c r="F341" i="24" s="1"/>
  <c r="F342" i="24" s="1"/>
  <c r="F343" i="24" s="1"/>
  <c r="F344" i="24" s="1"/>
  <c r="F345" i="24" s="1"/>
  <c r="F346" i="24" s="1"/>
  <c r="F347" i="24" s="1"/>
  <c r="F348" i="24" s="1"/>
  <c r="F349" i="24" s="1"/>
  <c r="F350" i="24" s="1"/>
  <c r="F351" i="24" s="1"/>
  <c r="F352" i="24" s="1"/>
  <c r="F353" i="24" s="1"/>
  <c r="F354" i="24" s="1"/>
  <c r="F355" i="24" s="1"/>
  <c r="F356" i="24" s="1"/>
  <c r="F357" i="24" s="1"/>
  <c r="F358" i="24" s="1"/>
  <c r="F359" i="24" s="1"/>
  <c r="F360" i="24" s="1"/>
  <c r="F361" i="24" s="1"/>
  <c r="F362" i="24" s="1"/>
  <c r="F363" i="24" s="1"/>
  <c r="F364" i="24" s="1"/>
  <c r="F365" i="24" s="1"/>
  <c r="F366" i="24" s="1"/>
  <c r="F367" i="24" s="1"/>
  <c r="F368" i="24" s="1"/>
  <c r="F369" i="24" s="1"/>
  <c r="F370" i="24" s="1"/>
  <c r="F371" i="24" s="1"/>
  <c r="F372" i="24" s="1"/>
  <c r="F373" i="24" s="1"/>
  <c r="F374" i="24" s="1"/>
  <c r="F375" i="24" s="1"/>
  <c r="F376" i="24" s="1"/>
  <c r="F377" i="24" s="1"/>
  <c r="F378" i="24" s="1"/>
  <c r="F379" i="24" s="1"/>
  <c r="F380" i="24" s="1"/>
  <c r="F381" i="24" s="1"/>
  <c r="F382" i="24" s="1"/>
  <c r="F383" i="24" s="1"/>
  <c r="F384" i="24" s="1"/>
  <c r="F385" i="24" s="1"/>
  <c r="F386" i="24" s="1"/>
  <c r="F387" i="24" s="1"/>
  <c r="F388" i="24" s="1"/>
  <c r="F389" i="24" s="1"/>
  <c r="F390" i="24" s="1"/>
  <c r="F391" i="24" s="1"/>
  <c r="F392" i="24" s="1"/>
  <c r="F393" i="24" s="1"/>
  <c r="F394" i="24" s="1"/>
  <c r="F395" i="24" s="1"/>
  <c r="F396" i="24" s="1"/>
  <c r="F397" i="24" s="1"/>
  <c r="F398" i="24" s="1"/>
  <c r="F399" i="24" s="1"/>
  <c r="F400" i="24" s="1"/>
  <c r="F401" i="24" s="1"/>
  <c r="F402" i="24" s="1"/>
  <c r="F403" i="24" s="1"/>
  <c r="F404" i="24" s="1"/>
  <c r="F405" i="24" s="1"/>
  <c r="F406" i="24" s="1"/>
  <c r="F407" i="24" s="1"/>
  <c r="F408" i="24" s="1"/>
  <c r="F409" i="24" s="1"/>
  <c r="F410" i="24" s="1"/>
  <c r="F411" i="24" s="1"/>
  <c r="F412" i="24" s="1"/>
  <c r="F413" i="24" s="1"/>
  <c r="F414" i="24" s="1"/>
  <c r="F415" i="24" s="1"/>
  <c r="F416" i="24" s="1"/>
  <c r="F417" i="24" s="1"/>
  <c r="F418" i="24" s="1"/>
  <c r="F419" i="24" s="1"/>
  <c r="F420" i="24" s="1"/>
  <c r="F421" i="24" s="1"/>
  <c r="F422" i="24" s="1"/>
  <c r="F423" i="24" s="1"/>
  <c r="F424" i="24" s="1"/>
  <c r="F425" i="24" s="1"/>
  <c r="F426" i="24" s="1"/>
  <c r="F427" i="24" s="1"/>
  <c r="F428" i="24" s="1"/>
  <c r="F429" i="24" s="1"/>
  <c r="F430" i="24" s="1"/>
  <c r="F431" i="24" s="1"/>
  <c r="F432" i="24" s="1"/>
  <c r="F433" i="24" s="1"/>
  <c r="F434" i="24" s="1"/>
  <c r="F435" i="24" s="1"/>
  <c r="F436" i="24" s="1"/>
  <c r="F437" i="24" s="1"/>
  <c r="F438" i="24" s="1"/>
  <c r="F439" i="24" s="1"/>
  <c r="F440" i="24" s="1"/>
  <c r="F441" i="24" s="1"/>
  <c r="F442" i="24" s="1"/>
  <c r="F443" i="24" s="1"/>
  <c r="F444" i="24" s="1"/>
  <c r="F445" i="24" s="1"/>
  <c r="F446" i="24" s="1"/>
  <c r="F447" i="24" s="1"/>
  <c r="F448" i="24" s="1"/>
  <c r="F449" i="24" s="1"/>
  <c r="F450" i="24" s="1"/>
  <c r="F451" i="24" s="1"/>
  <c r="F452" i="24" s="1"/>
  <c r="F453" i="24" s="1"/>
  <c r="F454" i="24" s="1"/>
  <c r="F455" i="24" s="1"/>
  <c r="F456" i="24" s="1"/>
  <c r="F457" i="24" s="1"/>
  <c r="F458" i="24" s="1"/>
  <c r="F459" i="24" s="1"/>
  <c r="F460" i="24" s="1"/>
  <c r="F461" i="24" s="1"/>
  <c r="F462" i="24" s="1"/>
  <c r="F463" i="24" s="1"/>
  <c r="F464" i="24" s="1"/>
  <c r="F465" i="24" s="1"/>
  <c r="F466" i="24" s="1"/>
  <c r="F467" i="24" s="1"/>
  <c r="F468" i="24" s="1"/>
  <c r="F469" i="24" s="1"/>
  <c r="F470" i="24" s="1"/>
  <c r="F471" i="24" s="1"/>
  <c r="F472" i="24" s="1"/>
  <c r="F473" i="24" s="1"/>
  <c r="F474" i="24" s="1"/>
  <c r="F475" i="24" s="1"/>
  <c r="F476" i="24" s="1"/>
  <c r="F477" i="24" s="1"/>
  <c r="F478" i="24" s="1"/>
  <c r="F479" i="24" s="1"/>
  <c r="F480" i="24" s="1"/>
  <c r="F481" i="24" s="1"/>
  <c r="F482" i="24" s="1"/>
  <c r="F483" i="24" s="1"/>
  <c r="F484" i="24" s="1"/>
  <c r="F485" i="24" s="1"/>
  <c r="F486" i="24" s="1"/>
  <c r="F487" i="24" s="1"/>
  <c r="F488" i="24" s="1"/>
  <c r="F489" i="24" s="1"/>
  <c r="F490" i="24" s="1"/>
  <c r="F491" i="24" s="1"/>
  <c r="F492" i="24" s="1"/>
  <c r="F493" i="24" s="1"/>
  <c r="F494" i="24" s="1"/>
  <c r="F495" i="24" s="1"/>
  <c r="F496" i="24" s="1"/>
  <c r="F497" i="24" s="1"/>
  <c r="F498" i="24" s="1"/>
  <c r="F499" i="24" s="1"/>
  <c r="F500" i="24" s="1"/>
  <c r="F501" i="24" s="1"/>
  <c r="F502" i="24" s="1"/>
  <c r="F503" i="24" s="1"/>
  <c r="F504" i="24" s="1"/>
  <c r="F5" i="24"/>
  <c r="A6" i="24"/>
  <c r="A7" i="24" s="1"/>
  <c r="A8" i="24" s="1"/>
  <c r="A9" i="24" s="1"/>
  <c r="A10" i="24" s="1"/>
  <c r="A11" i="24" s="1"/>
  <c r="A12" i="24" s="1"/>
  <c r="A13" i="24" s="1"/>
  <c r="A14" i="24" s="1"/>
  <c r="A15" i="24" s="1"/>
  <c r="A16" i="24" s="1"/>
  <c r="A17" i="24" s="1"/>
  <c r="A18" i="24" s="1"/>
  <c r="A19" i="24" s="1"/>
  <c r="A20" i="24" s="1"/>
  <c r="A21" i="24" s="1"/>
  <c r="A22" i="24" s="1"/>
  <c r="A23" i="24" s="1"/>
  <c r="A24" i="24" s="1"/>
  <c r="A25" i="24" s="1"/>
  <c r="A26" i="24" s="1"/>
  <c r="A27" i="24" s="1"/>
  <c r="A28" i="24" s="1"/>
  <c r="A29" i="24" s="1"/>
  <c r="A30" i="24" s="1"/>
  <c r="A31" i="24" s="1"/>
  <c r="A32" i="24" s="1"/>
  <c r="A33" i="24" s="1"/>
  <c r="A34" i="24" s="1"/>
  <c r="A35" i="24" s="1"/>
  <c r="A36" i="24" s="1"/>
  <c r="A37" i="24" s="1"/>
  <c r="A38" i="24" s="1"/>
  <c r="A39" i="24" s="1"/>
  <c r="A40" i="24" s="1"/>
  <c r="A41" i="24" s="1"/>
  <c r="A42" i="24" s="1"/>
  <c r="A43" i="24" s="1"/>
  <c r="A44" i="24" s="1"/>
  <c r="A45" i="24" s="1"/>
  <c r="A46" i="24" s="1"/>
  <c r="A47" i="24" s="1"/>
  <c r="A48" i="24" s="1"/>
  <c r="A49" i="24" s="1"/>
  <c r="A50" i="24" s="1"/>
  <c r="A51" i="24" s="1"/>
  <c r="A52" i="24" s="1"/>
  <c r="A53" i="24" s="1"/>
  <c r="A54" i="24" s="1"/>
  <c r="A55" i="24" s="1"/>
  <c r="A56" i="24" s="1"/>
  <c r="A57" i="24" s="1"/>
  <c r="A58" i="24" s="1"/>
  <c r="A59" i="24" s="1"/>
  <c r="A60" i="24" s="1"/>
  <c r="A61" i="24" s="1"/>
  <c r="A62" i="24" s="1"/>
  <c r="A63" i="24" s="1"/>
  <c r="A64" i="24" s="1"/>
  <c r="A65" i="24" s="1"/>
  <c r="A66" i="24" s="1"/>
  <c r="A67" i="24" s="1"/>
  <c r="A68" i="24" s="1"/>
  <c r="A69" i="24" s="1"/>
  <c r="A70" i="24" s="1"/>
  <c r="A71" i="24" s="1"/>
  <c r="A72" i="24" s="1"/>
  <c r="A73" i="24" s="1"/>
  <c r="A74" i="24" s="1"/>
  <c r="A75" i="24" s="1"/>
  <c r="A76" i="24" s="1"/>
  <c r="A77" i="24" s="1"/>
  <c r="A78" i="24" s="1"/>
  <c r="A79" i="24" s="1"/>
  <c r="A80" i="24" s="1"/>
  <c r="A81" i="24" s="1"/>
  <c r="A82" i="24" s="1"/>
  <c r="A83" i="24" s="1"/>
  <c r="A84" i="24" s="1"/>
  <c r="A85" i="24" s="1"/>
  <c r="A86" i="24" s="1"/>
  <c r="A87" i="24" s="1"/>
  <c r="A88" i="24" s="1"/>
  <c r="A89" i="24" s="1"/>
  <c r="A90" i="24" s="1"/>
  <c r="A91" i="24" s="1"/>
  <c r="A92" i="24" s="1"/>
  <c r="A93" i="24" s="1"/>
  <c r="A94" i="24" s="1"/>
  <c r="A95" i="24" s="1"/>
  <c r="A96" i="24" s="1"/>
  <c r="A97" i="24" s="1"/>
  <c r="A98" i="24" s="1"/>
  <c r="A99" i="24" s="1"/>
  <c r="A100" i="24" s="1"/>
  <c r="A101" i="24" s="1"/>
  <c r="A102" i="24" s="1"/>
  <c r="A103" i="24" s="1"/>
  <c r="A104" i="24" s="1"/>
  <c r="A105" i="24" s="1"/>
  <c r="A106" i="24" s="1"/>
  <c r="A107" i="24" s="1"/>
  <c r="A108" i="24" s="1"/>
  <c r="A109" i="24" s="1"/>
  <c r="A110" i="24" s="1"/>
  <c r="A111" i="24" s="1"/>
  <c r="A112" i="24" s="1"/>
  <c r="A113" i="24" s="1"/>
  <c r="A114" i="24" s="1"/>
  <c r="A115" i="24" s="1"/>
  <c r="A116" i="24" s="1"/>
  <c r="A117" i="24" s="1"/>
  <c r="A118" i="24" s="1"/>
  <c r="A119" i="24" s="1"/>
  <c r="A120" i="24" s="1"/>
  <c r="A121" i="24" s="1"/>
  <c r="A122" i="24" s="1"/>
  <c r="A123" i="24" s="1"/>
  <c r="A124" i="24" s="1"/>
  <c r="A125" i="24" s="1"/>
  <c r="A126" i="24" s="1"/>
  <c r="A127" i="24" s="1"/>
  <c r="A128" i="24" s="1"/>
  <c r="A129" i="24" s="1"/>
  <c r="A130" i="24" s="1"/>
  <c r="A131" i="24" s="1"/>
  <c r="A132" i="24" s="1"/>
  <c r="A133" i="24" s="1"/>
  <c r="A134" i="24" s="1"/>
  <c r="A135" i="24" s="1"/>
  <c r="A136" i="24" s="1"/>
  <c r="A137" i="24" s="1"/>
  <c r="A138" i="24" s="1"/>
  <c r="A139" i="24" s="1"/>
  <c r="A140" i="24" s="1"/>
  <c r="A141" i="24" s="1"/>
  <c r="A142" i="24" s="1"/>
  <c r="A143" i="24" s="1"/>
  <c r="A144" i="24" s="1"/>
  <c r="A145" i="24" s="1"/>
  <c r="A146" i="24" s="1"/>
  <c r="A147" i="24" s="1"/>
  <c r="A148" i="24" s="1"/>
  <c r="A149" i="24" s="1"/>
  <c r="A150" i="24" s="1"/>
  <c r="A151" i="24" s="1"/>
  <c r="A152" i="24" s="1"/>
  <c r="A153" i="24" s="1"/>
  <c r="A154" i="24" s="1"/>
  <c r="A155" i="24" s="1"/>
  <c r="A156" i="24" s="1"/>
  <c r="A157" i="24" s="1"/>
  <c r="A158" i="24" s="1"/>
  <c r="A159" i="24" s="1"/>
  <c r="A160" i="24" s="1"/>
  <c r="A161" i="24" s="1"/>
  <c r="A162" i="24" s="1"/>
  <c r="A163" i="24" s="1"/>
  <c r="A164" i="24" s="1"/>
  <c r="A165" i="24" s="1"/>
  <c r="A166" i="24" s="1"/>
  <c r="A167" i="24" s="1"/>
  <c r="A168" i="24" s="1"/>
  <c r="A169" i="24" s="1"/>
  <c r="A170" i="24" s="1"/>
  <c r="A171" i="24" s="1"/>
  <c r="A172" i="24" s="1"/>
  <c r="A173" i="24" s="1"/>
  <c r="A174" i="24" s="1"/>
  <c r="A175" i="24" s="1"/>
  <c r="A176" i="24" s="1"/>
  <c r="A177" i="24" s="1"/>
  <c r="A178" i="24" s="1"/>
  <c r="A179" i="24" s="1"/>
  <c r="A180" i="24" s="1"/>
  <c r="A181" i="24" s="1"/>
  <c r="A182" i="24" s="1"/>
  <c r="A183" i="24" s="1"/>
  <c r="A184" i="24" s="1"/>
  <c r="A185" i="24" s="1"/>
  <c r="A186" i="24" s="1"/>
  <c r="A187" i="24" s="1"/>
  <c r="A188" i="24" s="1"/>
  <c r="A189" i="24" s="1"/>
  <c r="A190" i="24" s="1"/>
  <c r="A191" i="24" s="1"/>
  <c r="A192" i="24" s="1"/>
  <c r="A193" i="24" s="1"/>
  <c r="A194" i="24" s="1"/>
  <c r="A195" i="24" s="1"/>
  <c r="A196" i="24" s="1"/>
  <c r="A197" i="24" s="1"/>
  <c r="A198" i="24" s="1"/>
  <c r="A199" i="24" s="1"/>
  <c r="A200" i="24" s="1"/>
  <c r="A201" i="24" s="1"/>
  <c r="A202" i="24" s="1"/>
  <c r="A203" i="24" s="1"/>
  <c r="A204" i="24" s="1"/>
  <c r="A205" i="24" s="1"/>
  <c r="A206" i="24" s="1"/>
  <c r="A207" i="24" s="1"/>
  <c r="A208" i="24" s="1"/>
  <c r="A209" i="24" s="1"/>
  <c r="A210" i="24" s="1"/>
  <c r="A211" i="24" s="1"/>
  <c r="A212" i="24" s="1"/>
  <c r="A213" i="24" s="1"/>
  <c r="A214" i="24" s="1"/>
  <c r="A215" i="24" s="1"/>
  <c r="A216" i="24" s="1"/>
  <c r="A217" i="24" s="1"/>
  <c r="A218" i="24" s="1"/>
  <c r="A219" i="24" s="1"/>
  <c r="A220" i="24" s="1"/>
  <c r="A221" i="24" s="1"/>
  <c r="A222" i="24" s="1"/>
  <c r="A223" i="24" s="1"/>
  <c r="A224" i="24" s="1"/>
  <c r="A225" i="24" s="1"/>
  <c r="A226" i="24" s="1"/>
  <c r="A227" i="24" s="1"/>
  <c r="A228" i="24" s="1"/>
  <c r="A229" i="24" s="1"/>
  <c r="A230" i="24" s="1"/>
  <c r="A231" i="24" s="1"/>
  <c r="A232" i="24" s="1"/>
  <c r="A233" i="24" s="1"/>
  <c r="A234" i="24" s="1"/>
  <c r="A235" i="24" s="1"/>
  <c r="A236" i="24" s="1"/>
  <c r="A237" i="24" s="1"/>
  <c r="A238" i="24" s="1"/>
  <c r="A239" i="24" s="1"/>
  <c r="A240" i="24" s="1"/>
  <c r="A241" i="24" s="1"/>
  <c r="A242" i="24" s="1"/>
  <c r="A243" i="24" s="1"/>
  <c r="A244" i="24" s="1"/>
  <c r="A245" i="24" s="1"/>
  <c r="A246" i="24" s="1"/>
  <c r="A247" i="24" s="1"/>
  <c r="A248" i="24" s="1"/>
  <c r="A249" i="24" s="1"/>
  <c r="A250" i="24" s="1"/>
  <c r="A251" i="24" s="1"/>
  <c r="A252" i="24" s="1"/>
  <c r="A253" i="24" s="1"/>
  <c r="A254" i="24" s="1"/>
  <c r="A255" i="24" s="1"/>
  <c r="A256" i="24" s="1"/>
  <c r="A257" i="24" s="1"/>
  <c r="A258" i="24" s="1"/>
  <c r="A259" i="24" s="1"/>
  <c r="A260" i="24" s="1"/>
  <c r="A261" i="24" s="1"/>
  <c r="A262" i="24" s="1"/>
  <c r="A263" i="24" s="1"/>
  <c r="A264" i="24" s="1"/>
  <c r="A265" i="24" s="1"/>
  <c r="A266" i="24" s="1"/>
  <c r="A267" i="24" s="1"/>
  <c r="A268" i="24" s="1"/>
  <c r="A269" i="24" s="1"/>
  <c r="A270" i="24" s="1"/>
  <c r="A271" i="24" s="1"/>
  <c r="A272" i="24" s="1"/>
  <c r="A273" i="24" s="1"/>
  <c r="A274" i="24" s="1"/>
  <c r="A275" i="24" s="1"/>
  <c r="A276" i="24" s="1"/>
  <c r="A277" i="24" s="1"/>
  <c r="A278" i="24" s="1"/>
  <c r="A279" i="24" s="1"/>
  <c r="A280" i="24" s="1"/>
  <c r="A281" i="24" s="1"/>
  <c r="A282" i="24" s="1"/>
  <c r="A283" i="24" s="1"/>
  <c r="A284" i="24" s="1"/>
  <c r="A285" i="24" s="1"/>
  <c r="A286" i="24" s="1"/>
  <c r="A287" i="24" s="1"/>
  <c r="A288" i="24" s="1"/>
  <c r="A289" i="24" s="1"/>
  <c r="A290" i="24" s="1"/>
  <c r="A291" i="24" s="1"/>
  <c r="A292" i="24" s="1"/>
  <c r="A293" i="24" s="1"/>
  <c r="A294" i="24" s="1"/>
  <c r="A295" i="24" s="1"/>
  <c r="A296" i="24" s="1"/>
  <c r="A297" i="24" s="1"/>
  <c r="A298" i="24" s="1"/>
  <c r="A299" i="24" s="1"/>
  <c r="A300" i="24" s="1"/>
  <c r="A301" i="24" s="1"/>
  <c r="A302" i="24" s="1"/>
  <c r="A303" i="24" s="1"/>
  <c r="A304" i="24" s="1"/>
  <c r="A305" i="24" s="1"/>
  <c r="A306" i="24" s="1"/>
  <c r="A307" i="24" s="1"/>
  <c r="A308" i="24" s="1"/>
  <c r="A309" i="24" s="1"/>
  <c r="A310" i="24" s="1"/>
  <c r="A311" i="24" s="1"/>
  <c r="A312" i="24" s="1"/>
  <c r="A313" i="24" s="1"/>
  <c r="A314" i="24" s="1"/>
  <c r="A315" i="24" s="1"/>
  <c r="A316" i="24" s="1"/>
  <c r="A317" i="24" s="1"/>
  <c r="A318" i="24" s="1"/>
  <c r="A319" i="24" s="1"/>
  <c r="A320" i="24" s="1"/>
  <c r="A321" i="24" s="1"/>
  <c r="A322" i="24" s="1"/>
  <c r="A323" i="24" s="1"/>
  <c r="A324" i="24" s="1"/>
  <c r="A325" i="24" s="1"/>
  <c r="A326" i="24" s="1"/>
  <c r="A327" i="24" s="1"/>
  <c r="A328" i="24" s="1"/>
  <c r="A329" i="24" s="1"/>
  <c r="A330" i="24" s="1"/>
  <c r="A331" i="24" s="1"/>
  <c r="A332" i="24" s="1"/>
  <c r="A333" i="24" s="1"/>
  <c r="A334" i="24" s="1"/>
  <c r="A335" i="24" s="1"/>
  <c r="A336" i="24" s="1"/>
  <c r="A337" i="24" s="1"/>
  <c r="A338" i="24" s="1"/>
  <c r="A339" i="24" s="1"/>
  <c r="A340" i="24" s="1"/>
  <c r="A341" i="24" s="1"/>
  <c r="A342" i="24" s="1"/>
  <c r="A343" i="24" s="1"/>
  <c r="A344" i="24" s="1"/>
  <c r="A345" i="24" s="1"/>
  <c r="A346" i="24" s="1"/>
  <c r="A347" i="24" s="1"/>
  <c r="A348" i="24" s="1"/>
  <c r="A349" i="24" s="1"/>
  <c r="A350" i="24" s="1"/>
  <c r="A351" i="24" s="1"/>
  <c r="A352" i="24" s="1"/>
  <c r="A353" i="24" s="1"/>
  <c r="A354" i="24" s="1"/>
  <c r="A355" i="24" s="1"/>
  <c r="A356" i="24" s="1"/>
  <c r="A357" i="24" s="1"/>
  <c r="A358" i="24" s="1"/>
  <c r="A359" i="24" s="1"/>
  <c r="A360" i="24" s="1"/>
  <c r="A361" i="24" s="1"/>
  <c r="A362" i="24" s="1"/>
  <c r="A363" i="24" s="1"/>
  <c r="A364" i="24" s="1"/>
  <c r="A365" i="24" s="1"/>
  <c r="A366" i="24" s="1"/>
  <c r="A367" i="24" s="1"/>
  <c r="A368" i="24" s="1"/>
  <c r="A369" i="24" s="1"/>
  <c r="A370" i="24" s="1"/>
  <c r="A371" i="24" s="1"/>
  <c r="A372" i="24" s="1"/>
  <c r="A373" i="24" s="1"/>
  <c r="A374" i="24" s="1"/>
  <c r="A375" i="24" s="1"/>
  <c r="A376" i="24" s="1"/>
  <c r="A377" i="24" s="1"/>
  <c r="A378" i="24" s="1"/>
  <c r="A379" i="24" s="1"/>
  <c r="A380" i="24" s="1"/>
  <c r="A381" i="24" s="1"/>
  <c r="A382" i="24" s="1"/>
  <c r="A383" i="24" s="1"/>
  <c r="A384" i="24" s="1"/>
  <c r="A385" i="24" s="1"/>
  <c r="A386" i="24" s="1"/>
  <c r="A387" i="24" s="1"/>
  <c r="A388" i="24" s="1"/>
  <c r="A389" i="24" s="1"/>
  <c r="A390" i="24" s="1"/>
  <c r="A391" i="24" s="1"/>
  <c r="A392" i="24" s="1"/>
  <c r="A393" i="24" s="1"/>
  <c r="A394" i="24" s="1"/>
  <c r="A395" i="24" s="1"/>
  <c r="A396" i="24" s="1"/>
  <c r="A397" i="24" s="1"/>
  <c r="A398" i="24" s="1"/>
  <c r="A399" i="24" s="1"/>
  <c r="A400" i="24" s="1"/>
  <c r="A401" i="24" s="1"/>
  <c r="A402" i="24" s="1"/>
  <c r="A403" i="24" s="1"/>
  <c r="A404" i="24" s="1"/>
  <c r="A405" i="24" s="1"/>
  <c r="A406" i="24" s="1"/>
  <c r="A407" i="24" s="1"/>
  <c r="A408" i="24" s="1"/>
  <c r="A409" i="24" s="1"/>
  <c r="A410" i="24" s="1"/>
  <c r="A411" i="24" s="1"/>
  <c r="A412" i="24" s="1"/>
  <c r="A413" i="24" s="1"/>
  <c r="A414" i="24" s="1"/>
  <c r="A415" i="24" s="1"/>
  <c r="A416" i="24" s="1"/>
  <c r="A417" i="24" s="1"/>
  <c r="A418" i="24" s="1"/>
  <c r="A419" i="24" s="1"/>
  <c r="A420" i="24" s="1"/>
  <c r="A421" i="24" s="1"/>
  <c r="A422" i="24" s="1"/>
  <c r="A423" i="24" s="1"/>
  <c r="A424" i="24" s="1"/>
  <c r="A425" i="24" s="1"/>
  <c r="A426" i="24" s="1"/>
  <c r="A427" i="24" s="1"/>
  <c r="A428" i="24" s="1"/>
  <c r="A429" i="24" s="1"/>
  <c r="A430" i="24" s="1"/>
  <c r="A431" i="24" s="1"/>
  <c r="A432" i="24" s="1"/>
  <c r="A433" i="24" s="1"/>
  <c r="A434" i="24" s="1"/>
  <c r="A435" i="24" s="1"/>
  <c r="A436" i="24" s="1"/>
  <c r="A437" i="24" s="1"/>
  <c r="A438" i="24" s="1"/>
  <c r="A439" i="24" s="1"/>
  <c r="A440" i="24" s="1"/>
  <c r="A441" i="24" s="1"/>
  <c r="A442" i="24" s="1"/>
  <c r="A443" i="24" s="1"/>
  <c r="A444" i="24" s="1"/>
  <c r="A445" i="24" s="1"/>
  <c r="A446" i="24" s="1"/>
  <c r="A447" i="24" s="1"/>
  <c r="A448" i="24" s="1"/>
  <c r="A449" i="24" s="1"/>
  <c r="A450" i="24" s="1"/>
  <c r="A451" i="24" s="1"/>
  <c r="A452" i="24" s="1"/>
  <c r="A453" i="24" s="1"/>
  <c r="A454" i="24" s="1"/>
  <c r="A455" i="24" s="1"/>
  <c r="A456" i="24" s="1"/>
  <c r="A457" i="24" s="1"/>
  <c r="A458" i="24" s="1"/>
  <c r="A459" i="24" s="1"/>
  <c r="A460" i="24" s="1"/>
  <c r="A461" i="24" s="1"/>
  <c r="A462" i="24" s="1"/>
  <c r="A463" i="24" s="1"/>
  <c r="A464" i="24" s="1"/>
  <c r="A465" i="24" s="1"/>
  <c r="A466" i="24" s="1"/>
  <c r="A467" i="24" s="1"/>
  <c r="A468" i="24" s="1"/>
  <c r="A469" i="24" s="1"/>
  <c r="A470" i="24" s="1"/>
  <c r="A471" i="24" s="1"/>
  <c r="A472" i="24" s="1"/>
  <c r="A473" i="24" s="1"/>
  <c r="A474" i="24" s="1"/>
  <c r="A475" i="24" s="1"/>
  <c r="A476" i="24" s="1"/>
  <c r="A477" i="24" s="1"/>
  <c r="A478" i="24" s="1"/>
  <c r="A479" i="24" s="1"/>
  <c r="A480" i="24" s="1"/>
  <c r="A481" i="24" s="1"/>
  <c r="A482" i="24" s="1"/>
  <c r="A483" i="24" s="1"/>
  <c r="A484" i="24" s="1"/>
  <c r="A485" i="24" s="1"/>
  <c r="A486" i="24" s="1"/>
  <c r="A487" i="24" s="1"/>
  <c r="A488" i="24" s="1"/>
  <c r="A489" i="24" s="1"/>
  <c r="A490" i="24" s="1"/>
  <c r="A491" i="24" s="1"/>
  <c r="A492" i="24" s="1"/>
  <c r="A493" i="24" s="1"/>
  <c r="A494" i="24" s="1"/>
  <c r="A495" i="24" s="1"/>
  <c r="A496" i="24" s="1"/>
  <c r="A497" i="24" s="1"/>
  <c r="A498" i="24" s="1"/>
  <c r="A499" i="24" s="1"/>
  <c r="A500" i="24" s="1"/>
  <c r="A501" i="24" s="1"/>
  <c r="A502" i="24" s="1"/>
  <c r="A503" i="24" s="1"/>
  <c r="A504" i="24" s="1"/>
  <c r="A505" i="24" s="1"/>
  <c r="A506" i="24" s="1"/>
  <c r="A507" i="24" s="1"/>
  <c r="A508" i="24" s="1"/>
  <c r="A509" i="24" s="1"/>
  <c r="A510" i="24" s="1"/>
  <c r="A511" i="24" s="1"/>
  <c r="A512" i="24" s="1"/>
  <c r="A513" i="24" s="1"/>
  <c r="A514" i="24" s="1"/>
  <c r="A515" i="24" s="1"/>
  <c r="A516" i="24" s="1"/>
  <c r="A517" i="24" s="1"/>
  <c r="A518" i="24" s="1"/>
  <c r="A519" i="24" s="1"/>
  <c r="A520" i="24" s="1"/>
  <c r="A521" i="24" s="1"/>
  <c r="A522" i="24" s="1"/>
  <c r="A523" i="24" s="1"/>
  <c r="A524" i="24" s="1"/>
  <c r="A525" i="24" s="1"/>
  <c r="A526" i="24" s="1"/>
  <c r="A527" i="24" s="1"/>
  <c r="A528" i="24" s="1"/>
  <c r="A529" i="24" s="1"/>
  <c r="A530" i="24" s="1"/>
  <c r="A531" i="24" s="1"/>
  <c r="A532" i="24" s="1"/>
  <c r="A533" i="24" s="1"/>
  <c r="A534" i="24" s="1"/>
  <c r="A535" i="24" s="1"/>
  <c r="A536" i="24" s="1"/>
  <c r="A537" i="24" s="1"/>
  <c r="A538" i="24" s="1"/>
  <c r="A539" i="24" s="1"/>
  <c r="A540" i="24" s="1"/>
  <c r="A541" i="24" s="1"/>
  <c r="A542" i="24" s="1"/>
  <c r="A543" i="24" s="1"/>
  <c r="A544" i="24" s="1"/>
  <c r="A545" i="24" s="1"/>
  <c r="A546" i="24" s="1"/>
  <c r="A547" i="24" s="1"/>
  <c r="A548" i="24" s="1"/>
  <c r="A549" i="24" s="1"/>
  <c r="A550" i="24" s="1"/>
  <c r="A551" i="24" s="1"/>
  <c r="A552" i="24" s="1"/>
  <c r="A553" i="24" s="1"/>
  <c r="A554" i="24" s="1"/>
  <c r="A555" i="24" s="1"/>
  <c r="A556" i="24" s="1"/>
  <c r="A557" i="24" s="1"/>
  <c r="A558" i="24" s="1"/>
  <c r="A559" i="24" s="1"/>
  <c r="A560" i="24" s="1"/>
  <c r="A561" i="24" s="1"/>
  <c r="A562" i="24" s="1"/>
  <c r="A563" i="24" s="1"/>
  <c r="A564" i="24" s="1"/>
  <c r="A565" i="24" s="1"/>
  <c r="A566" i="24" s="1"/>
  <c r="A567" i="24" s="1"/>
  <c r="A568" i="24" s="1"/>
  <c r="A569" i="24" s="1"/>
  <c r="A570" i="24" s="1"/>
  <c r="A571" i="24" s="1"/>
  <c r="A572" i="24" s="1"/>
  <c r="A573" i="24" s="1"/>
  <c r="A574" i="24" s="1"/>
  <c r="A575" i="24" s="1"/>
  <c r="A576" i="24" s="1"/>
  <c r="A577" i="24" s="1"/>
  <c r="A578" i="24" s="1"/>
  <c r="A579" i="24" s="1"/>
  <c r="A580" i="24" s="1"/>
  <c r="A581" i="24" s="1"/>
  <c r="A582" i="24" s="1"/>
  <c r="A583" i="24" s="1"/>
  <c r="A584" i="24" s="1"/>
  <c r="A585" i="24" s="1"/>
  <c r="A586" i="24" s="1"/>
  <c r="A587" i="24" s="1"/>
  <c r="A588" i="24" s="1"/>
  <c r="A589" i="24" s="1"/>
  <c r="A590" i="24" s="1"/>
  <c r="A591" i="24" s="1"/>
  <c r="A592" i="24" s="1"/>
  <c r="A593" i="24" s="1"/>
  <c r="A594" i="24" s="1"/>
  <c r="A595" i="24" s="1"/>
  <c r="A596" i="24" s="1"/>
  <c r="A597" i="24" s="1"/>
  <c r="A598" i="24" s="1"/>
  <c r="A599" i="24" s="1"/>
  <c r="A600" i="24" s="1"/>
  <c r="A601" i="24" s="1"/>
  <c r="A602" i="24" s="1"/>
  <c r="A603" i="24" s="1"/>
  <c r="A604" i="24" s="1"/>
  <c r="A605" i="24" s="1"/>
  <c r="A606" i="24" s="1"/>
  <c r="A607" i="24" s="1"/>
  <c r="A608" i="24" s="1"/>
  <c r="A609" i="24" s="1"/>
  <c r="A610" i="24" s="1"/>
  <c r="A611" i="24" s="1"/>
  <c r="A612" i="24" s="1"/>
  <c r="A613" i="24" s="1"/>
  <c r="A614" i="24" s="1"/>
  <c r="A615" i="24" s="1"/>
  <c r="A616" i="24" s="1"/>
  <c r="A617" i="24" s="1"/>
  <c r="A618" i="24" s="1"/>
  <c r="A619" i="24" s="1"/>
  <c r="A620" i="24" s="1"/>
  <c r="A621" i="24" s="1"/>
  <c r="A622" i="24" s="1"/>
  <c r="A623" i="24" s="1"/>
  <c r="A624" i="24" s="1"/>
  <c r="A625" i="24" s="1"/>
  <c r="A626" i="24" s="1"/>
  <c r="A627" i="24" s="1"/>
  <c r="A628" i="24" s="1"/>
  <c r="A629" i="24" s="1"/>
  <c r="A630" i="24" s="1"/>
  <c r="A631" i="24" s="1"/>
  <c r="A632" i="24" s="1"/>
  <c r="A633" i="24" s="1"/>
  <c r="A634" i="24" s="1"/>
  <c r="A635" i="24" s="1"/>
  <c r="A636" i="24" s="1"/>
  <c r="A637" i="24" s="1"/>
  <c r="A638" i="24" s="1"/>
  <c r="A639" i="24" s="1"/>
  <c r="A640" i="24" s="1"/>
  <c r="A641" i="24" s="1"/>
  <c r="A642" i="24" s="1"/>
  <c r="A643" i="24" s="1"/>
  <c r="A644" i="24" s="1"/>
  <c r="A645" i="24" s="1"/>
  <c r="A646" i="24" s="1"/>
  <c r="A647" i="24" s="1"/>
  <c r="A648" i="24" s="1"/>
  <c r="A649" i="24" s="1"/>
  <c r="A650" i="24" s="1"/>
  <c r="A651" i="24" s="1"/>
  <c r="A652" i="24" s="1"/>
  <c r="A653" i="24" s="1"/>
  <c r="A654" i="24" s="1"/>
  <c r="A655" i="24" s="1"/>
  <c r="A656" i="24" s="1"/>
  <c r="A657" i="24" s="1"/>
  <c r="A658" i="24" s="1"/>
  <c r="A659" i="24" s="1"/>
  <c r="A660" i="24" s="1"/>
  <c r="A661" i="24" s="1"/>
  <c r="A662" i="24" s="1"/>
  <c r="A663" i="24" s="1"/>
  <c r="A664" i="24" s="1"/>
  <c r="A665" i="24" s="1"/>
  <c r="A666" i="24" s="1"/>
  <c r="A667" i="24" s="1"/>
  <c r="A668" i="24" s="1"/>
  <c r="A669" i="24" s="1"/>
  <c r="A670" i="24" s="1"/>
  <c r="A671" i="24" s="1"/>
  <c r="A672" i="24" s="1"/>
  <c r="A673" i="24" s="1"/>
  <c r="A674" i="24" s="1"/>
  <c r="A675" i="24" s="1"/>
  <c r="A676" i="24" s="1"/>
  <c r="A677" i="24" s="1"/>
  <c r="A678" i="24" s="1"/>
  <c r="A679" i="24" s="1"/>
  <c r="A680" i="24" s="1"/>
  <c r="A681" i="24" s="1"/>
  <c r="A682" i="24" s="1"/>
  <c r="A683" i="24" s="1"/>
  <c r="A684" i="24" s="1"/>
  <c r="A685" i="24" s="1"/>
  <c r="A686" i="24" s="1"/>
  <c r="A687" i="24" s="1"/>
  <c r="A688" i="24" s="1"/>
  <c r="A689" i="24" s="1"/>
  <c r="A690" i="24" s="1"/>
  <c r="A691" i="24" s="1"/>
  <c r="A692" i="24" s="1"/>
  <c r="A693" i="24" s="1"/>
  <c r="A694" i="24" s="1"/>
  <c r="A695" i="24" s="1"/>
  <c r="A696" i="24" s="1"/>
  <c r="A697" i="24" s="1"/>
  <c r="A698" i="24" s="1"/>
  <c r="A699" i="24" s="1"/>
  <c r="A700" i="24" s="1"/>
  <c r="A701" i="24" s="1"/>
  <c r="A702" i="24" s="1"/>
  <c r="A703" i="24" s="1"/>
  <c r="A704" i="24" s="1"/>
  <c r="A705" i="24" s="1"/>
  <c r="A706" i="24" s="1"/>
  <c r="A707" i="24" s="1"/>
  <c r="A708" i="24" s="1"/>
  <c r="A709" i="24" s="1"/>
  <c r="A710" i="24" s="1"/>
  <c r="A711" i="24" s="1"/>
  <c r="A712" i="24" s="1"/>
  <c r="A713" i="24" s="1"/>
  <c r="A714" i="24" s="1"/>
  <c r="A715" i="24" s="1"/>
  <c r="A716" i="24" s="1"/>
  <c r="A717" i="24" s="1"/>
  <c r="A718" i="24" s="1"/>
  <c r="A719" i="24" s="1"/>
  <c r="A720" i="24" s="1"/>
  <c r="A721" i="24" s="1"/>
  <c r="A722" i="24" s="1"/>
  <c r="A723" i="24" s="1"/>
  <c r="A724" i="24" s="1"/>
  <c r="A725" i="24" s="1"/>
  <c r="A726" i="24" s="1"/>
  <c r="A727" i="24" s="1"/>
  <c r="A728" i="24" s="1"/>
  <c r="A729" i="24" s="1"/>
  <c r="A730" i="24" s="1"/>
  <c r="A731" i="24" s="1"/>
  <c r="A732" i="24" s="1"/>
  <c r="A733" i="24" s="1"/>
  <c r="A734" i="24" s="1"/>
  <c r="A735" i="24" s="1"/>
  <c r="A736" i="24" s="1"/>
  <c r="A737" i="24" s="1"/>
  <c r="A738" i="24" s="1"/>
  <c r="A739" i="24" s="1"/>
  <c r="A740" i="24" s="1"/>
  <c r="A741" i="24" s="1"/>
  <c r="A742" i="24" s="1"/>
  <c r="A743" i="24" s="1"/>
  <c r="A744" i="24" s="1"/>
  <c r="A745" i="24" s="1"/>
  <c r="A746" i="24" s="1"/>
  <c r="A747" i="24" s="1"/>
  <c r="A748" i="24" s="1"/>
  <c r="A749" i="24" s="1"/>
  <c r="A750" i="24" s="1"/>
  <c r="A751" i="24" s="1"/>
  <c r="A752" i="24" s="1"/>
  <c r="A753" i="24" s="1"/>
  <c r="A754" i="24" s="1"/>
  <c r="A755" i="24" s="1"/>
  <c r="A756" i="24" s="1"/>
  <c r="A757" i="24" s="1"/>
  <c r="A758" i="24" s="1"/>
  <c r="A759" i="24" s="1"/>
  <c r="A760" i="24" s="1"/>
  <c r="A761" i="24" s="1"/>
  <c r="A762" i="24" s="1"/>
  <c r="A763" i="24" s="1"/>
  <c r="A764" i="24" s="1"/>
  <c r="A765" i="24" s="1"/>
  <c r="A766" i="24" s="1"/>
  <c r="A767" i="24" s="1"/>
  <c r="A768" i="24" s="1"/>
  <c r="A769" i="24" s="1"/>
  <c r="A770" i="24" s="1"/>
  <c r="A771" i="24" s="1"/>
  <c r="A772" i="24" s="1"/>
  <c r="A773" i="24" s="1"/>
  <c r="A774" i="24" s="1"/>
  <c r="A775" i="24" s="1"/>
  <c r="A776" i="24" s="1"/>
  <c r="A777" i="24" s="1"/>
  <c r="A778" i="24" s="1"/>
  <c r="A779" i="24" s="1"/>
  <c r="A780" i="24" s="1"/>
  <c r="A781" i="24" s="1"/>
  <c r="A782" i="24" s="1"/>
  <c r="A783" i="24" s="1"/>
  <c r="A784" i="24" s="1"/>
  <c r="A785" i="24" s="1"/>
  <c r="A786" i="24" s="1"/>
  <c r="A787" i="24" s="1"/>
  <c r="A788" i="24" s="1"/>
  <c r="A789" i="24" s="1"/>
  <c r="A790" i="24" s="1"/>
  <c r="A791" i="24" s="1"/>
  <c r="A792" i="24" s="1"/>
  <c r="A793" i="24" s="1"/>
  <c r="A794" i="24" s="1"/>
  <c r="A795" i="24" s="1"/>
  <c r="A796" i="24" s="1"/>
  <c r="A797" i="24" s="1"/>
  <c r="A798" i="24" s="1"/>
  <c r="A799" i="24" s="1"/>
  <c r="A800" i="24" s="1"/>
  <c r="A801" i="24" s="1"/>
  <c r="A802" i="24" s="1"/>
  <c r="A803" i="24" s="1"/>
  <c r="A804" i="24" s="1"/>
  <c r="A805" i="24" s="1"/>
  <c r="A806" i="24" s="1"/>
  <c r="A807" i="24" s="1"/>
  <c r="A808" i="24" s="1"/>
  <c r="A809" i="24" s="1"/>
  <c r="A810" i="24" s="1"/>
  <c r="A811" i="24" s="1"/>
  <c r="A812" i="24" s="1"/>
  <c r="A813" i="24" s="1"/>
  <c r="A814" i="24" s="1"/>
  <c r="A815" i="24" s="1"/>
  <c r="A816" i="24" s="1"/>
  <c r="A817" i="24" s="1"/>
  <c r="A818" i="24" s="1"/>
  <c r="A819" i="24" s="1"/>
  <c r="A820" i="24" s="1"/>
  <c r="A821" i="24" s="1"/>
  <c r="A822" i="24" s="1"/>
  <c r="A823" i="24" s="1"/>
  <c r="A824" i="24" s="1"/>
  <c r="A825" i="24" s="1"/>
  <c r="A826" i="24" s="1"/>
  <c r="A827" i="24" s="1"/>
  <c r="A828" i="24" s="1"/>
  <c r="A829" i="24" s="1"/>
  <c r="A830" i="24" s="1"/>
  <c r="A831" i="24" s="1"/>
  <c r="A832" i="24" s="1"/>
  <c r="A833" i="24" s="1"/>
  <c r="A834" i="24" s="1"/>
  <c r="A835" i="24" s="1"/>
  <c r="A836" i="24" s="1"/>
  <c r="A837" i="24" s="1"/>
  <c r="A838" i="24" s="1"/>
  <c r="A839" i="24" s="1"/>
  <c r="A840" i="24" s="1"/>
  <c r="A841" i="24" s="1"/>
  <c r="A842" i="24" s="1"/>
  <c r="A843" i="24" s="1"/>
  <c r="A844" i="24" s="1"/>
  <c r="A845" i="24" s="1"/>
  <c r="A846" i="24" s="1"/>
  <c r="A847" i="24" s="1"/>
  <c r="A848" i="24" s="1"/>
  <c r="A849" i="24" s="1"/>
  <c r="A850" i="24" s="1"/>
  <c r="A851" i="24" s="1"/>
  <c r="A852" i="24" s="1"/>
  <c r="A853" i="24" s="1"/>
  <c r="A854" i="24" s="1"/>
  <c r="A855" i="24" s="1"/>
  <c r="A856" i="24" s="1"/>
  <c r="A857" i="24" s="1"/>
  <c r="A858" i="24" s="1"/>
  <c r="A859" i="24" s="1"/>
  <c r="A860" i="24" s="1"/>
  <c r="A861" i="24" s="1"/>
  <c r="A862" i="24" s="1"/>
  <c r="A863" i="24" s="1"/>
  <c r="A864" i="24" s="1"/>
  <c r="A865" i="24" s="1"/>
  <c r="A866" i="24" s="1"/>
  <c r="A867" i="24" s="1"/>
  <c r="A868" i="24" s="1"/>
  <c r="A869" i="24" s="1"/>
  <c r="A870" i="24" s="1"/>
  <c r="A871" i="24" s="1"/>
  <c r="A872" i="24" s="1"/>
  <c r="A873" i="24" s="1"/>
  <c r="A874" i="24" s="1"/>
  <c r="A875" i="24" s="1"/>
  <c r="A876" i="24" s="1"/>
  <c r="A877" i="24" s="1"/>
  <c r="A878" i="24" s="1"/>
  <c r="A879" i="24" s="1"/>
  <c r="A880" i="24" s="1"/>
  <c r="A881" i="24" s="1"/>
  <c r="A882" i="24" s="1"/>
  <c r="A883" i="24" s="1"/>
  <c r="A884" i="24" s="1"/>
  <c r="A885" i="24" s="1"/>
  <c r="A886" i="24" s="1"/>
  <c r="A887" i="24" s="1"/>
  <c r="A888" i="24" s="1"/>
  <c r="A889" i="24" s="1"/>
  <c r="A890" i="24" s="1"/>
  <c r="A891" i="24" s="1"/>
  <c r="A892" i="24" s="1"/>
  <c r="A893" i="24" s="1"/>
  <c r="A894" i="24" s="1"/>
  <c r="A895" i="24" s="1"/>
  <c r="A896" i="24" s="1"/>
  <c r="A897" i="24" s="1"/>
  <c r="A898" i="24" s="1"/>
  <c r="A899" i="24" s="1"/>
  <c r="A900" i="24" s="1"/>
  <c r="A901" i="24" s="1"/>
  <c r="A902" i="24" s="1"/>
  <c r="A903" i="24" s="1"/>
  <c r="A904" i="24" s="1"/>
  <c r="A905" i="24" s="1"/>
  <c r="A906" i="24" s="1"/>
  <c r="A907" i="24" s="1"/>
  <c r="A908" i="24" s="1"/>
  <c r="A909" i="24" s="1"/>
  <c r="A910" i="24" s="1"/>
  <c r="A911" i="24" s="1"/>
  <c r="A912" i="24" s="1"/>
  <c r="A913" i="24" s="1"/>
  <c r="A914" i="24" s="1"/>
  <c r="A915" i="24" s="1"/>
  <c r="A916" i="24" s="1"/>
  <c r="A917" i="24" s="1"/>
  <c r="A918" i="24" s="1"/>
  <c r="A919" i="24" s="1"/>
  <c r="A920" i="24" s="1"/>
  <c r="A921" i="24" s="1"/>
  <c r="A922" i="24" s="1"/>
  <c r="A923" i="24" s="1"/>
  <c r="A924" i="24" s="1"/>
  <c r="A925" i="24" s="1"/>
  <c r="A926" i="24" s="1"/>
  <c r="A927" i="24" s="1"/>
  <c r="A928" i="24" s="1"/>
  <c r="A929" i="24" s="1"/>
  <c r="A930" i="24" s="1"/>
  <c r="A931" i="24" s="1"/>
  <c r="A932" i="24" s="1"/>
  <c r="A933" i="24" s="1"/>
  <c r="A934" i="24" s="1"/>
  <c r="A935" i="24" s="1"/>
  <c r="A936" i="24" s="1"/>
  <c r="A937" i="24" s="1"/>
  <c r="A938" i="24" s="1"/>
  <c r="A939" i="24" s="1"/>
  <c r="A940" i="24" s="1"/>
  <c r="A941" i="24" s="1"/>
  <c r="A942" i="24" s="1"/>
  <c r="A943" i="24" s="1"/>
  <c r="A944" i="24" s="1"/>
  <c r="A945" i="24" s="1"/>
  <c r="A946" i="24" s="1"/>
  <c r="A947" i="24" s="1"/>
  <c r="A948" i="24" s="1"/>
  <c r="A949" i="24" s="1"/>
  <c r="A950" i="24" s="1"/>
  <c r="A951" i="24" s="1"/>
  <c r="A952" i="24" s="1"/>
  <c r="A953" i="24" s="1"/>
  <c r="A954" i="24" s="1"/>
  <c r="A955" i="24" s="1"/>
  <c r="A956" i="24" s="1"/>
  <c r="A957" i="24" s="1"/>
  <c r="A958" i="24" s="1"/>
  <c r="A959" i="24" s="1"/>
  <c r="A960" i="24" s="1"/>
  <c r="A961" i="24" s="1"/>
  <c r="A962" i="24" s="1"/>
  <c r="A963" i="24" s="1"/>
  <c r="A964" i="24" s="1"/>
  <c r="A965" i="24" s="1"/>
  <c r="A966" i="24" s="1"/>
  <c r="A967" i="24" s="1"/>
  <c r="A968" i="24" s="1"/>
  <c r="A969" i="24" s="1"/>
  <c r="A970" i="24" s="1"/>
  <c r="A971" i="24" s="1"/>
  <c r="A972" i="24" s="1"/>
  <c r="A973" i="24" s="1"/>
  <c r="A974" i="24" s="1"/>
  <c r="A975" i="24" s="1"/>
  <c r="A976" i="24" s="1"/>
  <c r="A977" i="24" s="1"/>
  <c r="A978" i="24" s="1"/>
  <c r="A979" i="24" s="1"/>
  <c r="A980" i="24" s="1"/>
  <c r="A981" i="24" s="1"/>
  <c r="A982" i="24" s="1"/>
  <c r="A983" i="24" s="1"/>
  <c r="A984" i="24" s="1"/>
  <c r="A985" i="24" s="1"/>
  <c r="A986" i="24" s="1"/>
  <c r="A987" i="24" s="1"/>
  <c r="A988" i="24" s="1"/>
  <c r="A989" i="24" s="1"/>
  <c r="A990" i="24" s="1"/>
  <c r="A991" i="24" s="1"/>
  <c r="A992" i="24" s="1"/>
  <c r="A993" i="24" s="1"/>
  <c r="A994" i="24" s="1"/>
  <c r="A995" i="24" s="1"/>
  <c r="A996" i="24" s="1"/>
  <c r="A997" i="24" s="1"/>
  <c r="A998" i="24" s="1"/>
  <c r="A999" i="24" s="1"/>
  <c r="A1000" i="24" s="1"/>
  <c r="A1001" i="24" s="1"/>
  <c r="A1002" i="24" s="1"/>
  <c r="A1003" i="24" s="1"/>
  <c r="A5" i="24"/>
  <c r="B12" i="21" l="1"/>
  <c r="B11" i="21"/>
  <c r="B10" i="21"/>
  <c r="B9" i="21"/>
  <c r="B8" i="21"/>
  <c r="B7" i="21"/>
  <c r="B6" i="21"/>
  <c r="B5" i="21"/>
  <c r="B4" i="21"/>
  <c r="B5" i="27"/>
  <c r="B4" i="20"/>
  <c r="B6" i="24" a="1"/>
  <c r="B5" i="24" a="1"/>
  <c r="B4" i="24" a="1"/>
  <c r="B4" i="24" l="1"/>
  <c r="B5" i="24"/>
  <c r="B6" i="24"/>
  <c r="B6" i="27"/>
  <c r="B7" i="24" a="1"/>
  <c r="B7" i="24" l="1"/>
  <c r="B7" i="27"/>
  <c r="B3" i="23"/>
  <c r="B12" i="34"/>
  <c r="B8" i="30"/>
  <c r="B11" i="34"/>
  <c r="B10" i="34"/>
  <c r="B9" i="34"/>
  <c r="B3" i="34"/>
  <c r="B7" i="30"/>
  <c r="B3" i="30"/>
  <c r="D5" i="34"/>
  <c r="D6" i="34" s="1"/>
  <c r="D7" i="34" s="1"/>
  <c r="D8" i="34" s="1"/>
  <c r="D9" i="34" s="1"/>
  <c r="D10" i="34" s="1"/>
  <c r="D11" i="34" s="1"/>
  <c r="D12" i="34" s="1"/>
  <c r="D13" i="34" s="1"/>
  <c r="D14" i="34" s="1"/>
  <c r="D15" i="34" s="1"/>
  <c r="D16" i="34" s="1"/>
  <c r="D17" i="34" s="1"/>
  <c r="D18" i="34" s="1"/>
  <c r="D19" i="34" s="1"/>
  <c r="D20" i="34" s="1"/>
  <c r="D21" i="34" s="1"/>
  <c r="D22" i="34" s="1"/>
  <c r="D23" i="34" s="1"/>
  <c r="H4" i="34"/>
  <c r="F8" i="23"/>
  <c r="H4" i="30"/>
  <c r="E5" i="29"/>
  <c r="A24" i="31"/>
  <c r="A6" i="31"/>
  <c r="A7" i="31" s="1"/>
  <c r="A8" i="31" s="1"/>
  <c r="A9" i="31" s="1"/>
  <c r="A10" i="31" s="1"/>
  <c r="A11" i="31" s="1"/>
  <c r="A12" i="31" s="1"/>
  <c r="A13" i="31" s="1"/>
  <c r="A14" i="31" s="1"/>
  <c r="A15" i="31" s="1"/>
  <c r="A16" i="31" s="1"/>
  <c r="A17" i="31" s="1"/>
  <c r="A18" i="31" s="1"/>
  <c r="A19" i="31" s="1"/>
  <c r="A20" i="31" s="1"/>
  <c r="A21" i="31" s="1"/>
  <c r="A22" i="31" s="1"/>
  <c r="A23" i="31" s="1"/>
  <c r="E5" i="31"/>
  <c r="E4" i="36" a="1"/>
  <c r="B8" i="24" a="1"/>
  <c r="B8" i="24" l="1"/>
  <c r="B8" i="27"/>
  <c r="E6" i="36"/>
  <c r="E7" i="36"/>
  <c r="E5" i="36"/>
  <c r="E4" i="36"/>
  <c r="E8" i="36"/>
  <c r="C25" i="22"/>
  <c r="D6" i="30"/>
  <c r="D7" i="30" s="1"/>
  <c r="D8" i="30" s="1"/>
  <c r="D9" i="30" s="1"/>
  <c r="D10" i="30" s="1"/>
  <c r="D11" i="30" s="1"/>
  <c r="D12" i="30" s="1"/>
  <c r="D13" i="30" s="1"/>
  <c r="D14" i="30" s="1"/>
  <c r="D15" i="30" s="1"/>
  <c r="D16" i="30" s="1"/>
  <c r="D17" i="30" s="1"/>
  <c r="D18" i="30" s="1"/>
  <c r="D19" i="30" s="1"/>
  <c r="D20" i="30" s="1"/>
  <c r="D21" i="30" s="1"/>
  <c r="D22" i="30" s="1"/>
  <c r="D23" i="30" s="1"/>
  <c r="D5" i="30"/>
  <c r="A7" i="29"/>
  <c r="A8" i="29" s="1"/>
  <c r="A9" i="29" s="1"/>
  <c r="A10" i="29" s="1"/>
  <c r="A11" i="29" s="1"/>
  <c r="A12" i="29" s="1"/>
  <c r="A13" i="29" s="1"/>
  <c r="A14" i="29" s="1"/>
  <c r="A15" i="29" s="1"/>
  <c r="A16" i="29" s="1"/>
  <c r="A17" i="29" s="1"/>
  <c r="A18" i="29" s="1"/>
  <c r="A19" i="29" s="1"/>
  <c r="A20" i="29" s="1"/>
  <c r="A21" i="29" s="1"/>
  <c r="A22" i="29" s="1"/>
  <c r="A23" i="29" s="1"/>
  <c r="A24" i="29" s="1"/>
  <c r="A6" i="29"/>
  <c r="D5" i="23"/>
  <c r="D6" i="23" s="1"/>
  <c r="D7" i="23" s="1"/>
  <c r="D8" i="23" s="1"/>
  <c r="D9" i="23" s="1"/>
  <c r="D10" i="23" s="1"/>
  <c r="D11" i="23" s="1"/>
  <c r="D12" i="23" s="1"/>
  <c r="D13" i="23" s="1"/>
  <c r="D14" i="23" s="1"/>
  <c r="D15" i="23" s="1"/>
  <c r="D16" i="23" s="1"/>
  <c r="D17" i="23" s="1"/>
  <c r="D18" i="23" s="1"/>
  <c r="D19" i="23" s="1"/>
  <c r="D20" i="23" s="1"/>
  <c r="D21" i="23" s="1"/>
  <c r="D22" i="23" s="1"/>
  <c r="D23" i="23" s="1"/>
  <c r="A6" i="22"/>
  <c r="A7" i="22" s="1"/>
  <c r="A8" i="22" s="1"/>
  <c r="A9" i="22" s="1"/>
  <c r="A10" i="22" s="1"/>
  <c r="A11" i="22" s="1"/>
  <c r="A12" i="22" s="1"/>
  <c r="A13" i="22" s="1"/>
  <c r="A14" i="22" s="1"/>
  <c r="A15" i="22" s="1"/>
  <c r="A16" i="22" s="1"/>
  <c r="A17" i="22" s="1"/>
  <c r="A18" i="22" s="1"/>
  <c r="A19" i="22" s="1"/>
  <c r="A20" i="22" s="1"/>
  <c r="A21" i="22" s="1"/>
  <c r="A22" i="22" s="1"/>
  <c r="A23" i="22" s="1"/>
  <c r="A24" i="22" s="1"/>
  <c r="B9" i="18"/>
  <c r="E4" i="6" a="1"/>
  <c r="B9" i="24" a="1"/>
  <c r="B9" i="24" l="1"/>
  <c r="B9" i="27"/>
  <c r="E5" i="6"/>
  <c r="E4" i="6"/>
  <c r="E7" i="6"/>
  <c r="E6" i="6"/>
  <c r="D24" i="22"/>
  <c r="F23" i="23"/>
  <c r="D23" i="22"/>
  <c r="F40" i="5"/>
  <c r="F39" i="5"/>
  <c r="F38" i="5"/>
  <c r="F37" i="5"/>
  <c r="F36" i="5"/>
  <c r="F35" i="5"/>
  <c r="F34" i="5"/>
  <c r="F33" i="5"/>
  <c r="F32" i="5"/>
  <c r="F31" i="5"/>
  <c r="F30" i="5"/>
  <c r="F29" i="5"/>
  <c r="F28" i="5"/>
  <c r="F27" i="5"/>
  <c r="F26" i="5"/>
  <c r="F25" i="5"/>
  <c r="F24" i="5"/>
  <c r="F23" i="5"/>
  <c r="F22" i="5"/>
  <c r="F21" i="5"/>
  <c r="F20" i="5"/>
  <c r="F19" i="5"/>
  <c r="F18" i="5"/>
  <c r="F17" i="5"/>
  <c r="F16" i="5"/>
  <c r="F15" i="5"/>
  <c r="F14" i="5"/>
  <c r="F13" i="5"/>
  <c r="F12" i="5"/>
  <c r="F11" i="5"/>
  <c r="F10" i="5"/>
  <c r="F9" i="5"/>
  <c r="F8" i="5"/>
  <c r="F7" i="5"/>
  <c r="F6" i="5"/>
  <c r="F5" i="5"/>
  <c r="D5" i="5"/>
  <c r="B10" i="24" a="1"/>
  <c r="B10" i="24" l="1"/>
  <c r="B10" i="27"/>
  <c r="C24" i="26"/>
  <c r="D24" i="26" s="1"/>
  <c r="C23" i="26"/>
  <c r="D23" i="26" s="1"/>
  <c r="C22" i="26"/>
  <c r="D22" i="26" s="1"/>
  <c r="C21" i="26"/>
  <c r="D21" i="26" s="1"/>
  <c r="C20" i="26"/>
  <c r="D20" i="26" s="1"/>
  <c r="C19" i="26"/>
  <c r="D19" i="26" s="1"/>
  <c r="C18" i="26"/>
  <c r="D18" i="26" s="1"/>
  <c r="C17" i="26"/>
  <c r="D17" i="26" s="1"/>
  <c r="C16" i="26"/>
  <c r="D16" i="26" s="1"/>
  <c r="C15" i="26"/>
  <c r="D15" i="26" s="1"/>
  <c r="C14" i="26"/>
  <c r="D14" i="26" s="1"/>
  <c r="C13" i="26"/>
  <c r="D13" i="26" s="1"/>
  <c r="C12" i="26"/>
  <c r="D12" i="26" s="1"/>
  <c r="C11" i="26"/>
  <c r="D11" i="26" s="1"/>
  <c r="B11" i="24" a="1"/>
  <c r="B11" i="24" l="1"/>
  <c r="B11" i="27"/>
  <c r="C22" i="25"/>
  <c r="C21" i="25"/>
  <c r="C20" i="25"/>
  <c r="C19" i="25"/>
  <c r="C18" i="25"/>
  <c r="C17" i="25"/>
  <c r="C16" i="25"/>
  <c r="C15" i="25"/>
  <c r="C14" i="25"/>
  <c r="C13" i="25"/>
  <c r="C12" i="25"/>
  <c r="C11" i="25"/>
  <c r="C10" i="25"/>
  <c r="C9" i="25"/>
  <c r="B12" i="24" a="1"/>
  <c r="B12" i="24" l="1"/>
  <c r="B13" i="27"/>
  <c r="B12" i="27"/>
  <c r="B13" i="24" a="1"/>
  <c r="B13" i="24" l="1"/>
  <c r="F22" i="23"/>
  <c r="F21" i="23"/>
  <c r="F20" i="23"/>
  <c r="F19" i="23"/>
  <c r="F18" i="23"/>
  <c r="F17" i="23"/>
  <c r="F16" i="23"/>
  <c r="F15" i="23"/>
  <c r="F14" i="23"/>
  <c r="F13" i="23"/>
  <c r="F12" i="23"/>
  <c r="F11" i="23"/>
  <c r="F10" i="23"/>
  <c r="F9" i="23"/>
  <c r="F7" i="23"/>
  <c r="F6" i="23"/>
  <c r="B6" i="23"/>
  <c r="F5" i="23"/>
  <c r="F4" i="23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8" i="22"/>
  <c r="D7" i="22"/>
  <c r="D6" i="22"/>
  <c r="D5" i="22"/>
  <c r="B14" i="24" a="1"/>
  <c r="B14" i="24" l="1"/>
  <c r="B7" i="16"/>
  <c r="B13" i="13"/>
  <c r="B12" i="13"/>
  <c r="B11" i="13"/>
  <c r="B10" i="13"/>
  <c r="B9" i="13"/>
  <c r="B8" i="13"/>
  <c r="B7" i="13"/>
  <c r="B6" i="13"/>
  <c r="B5" i="13"/>
  <c r="C4" i="21" a="1"/>
  <c r="B15" i="24" a="1"/>
  <c r="B15" i="24" l="1"/>
  <c r="C8" i="21"/>
  <c r="C7" i="21"/>
  <c r="C6" i="21"/>
  <c r="C5" i="21"/>
  <c r="C4" i="21"/>
  <c r="C10" i="21"/>
  <c r="C11" i="21"/>
  <c r="C12" i="21"/>
  <c r="C9" i="21"/>
  <c r="B7" i="15"/>
  <c r="B16" i="24" a="1"/>
  <c r="B16" i="24" l="1"/>
  <c r="C9" i="14"/>
  <c r="B9" i="14"/>
  <c r="B17" i="24" a="1"/>
  <c r="B17" i="24" l="1"/>
  <c r="B13" i="11"/>
  <c r="B12" i="11"/>
  <c r="B11" i="11"/>
  <c r="B10" i="11"/>
  <c r="B9" i="11"/>
  <c r="B8" i="11"/>
  <c r="B7" i="11"/>
  <c r="B6" i="11"/>
  <c r="B5" i="11"/>
  <c r="B18" i="24" a="1"/>
  <c r="B18" i="24" l="1"/>
  <c r="B11" i="8"/>
  <c r="B10" i="8"/>
  <c r="B9" i="8"/>
  <c r="B8" i="8"/>
  <c r="B7" i="8"/>
  <c r="B6" i="8"/>
  <c r="B5" i="8"/>
  <c r="B4" i="8"/>
  <c r="B12" i="7"/>
  <c r="B11" i="7"/>
  <c r="B10" i="7"/>
  <c r="B9" i="7"/>
  <c r="B8" i="7"/>
  <c r="B7" i="7"/>
  <c r="B6" i="7"/>
  <c r="B5" i="7"/>
  <c r="B4" i="10" a="1"/>
  <c r="C4" i="8" a="1"/>
  <c r="B19" i="24" a="1"/>
  <c r="B19" i="24" l="1"/>
  <c r="D9" i="10"/>
  <c r="D5" i="10"/>
  <c r="C9" i="10"/>
  <c r="C5" i="10"/>
  <c r="B9" i="10"/>
  <c r="B5" i="10"/>
  <c r="D8" i="10"/>
  <c r="D4" i="10"/>
  <c r="C8" i="10"/>
  <c r="C4" i="10"/>
  <c r="B8" i="10"/>
  <c r="B4" i="10"/>
  <c r="D7" i="10"/>
  <c r="C7" i="10"/>
  <c r="D6" i="10"/>
  <c r="B6" i="10"/>
  <c r="B7" i="10"/>
  <c r="C6" i="10"/>
  <c r="C4" i="8"/>
  <c r="C11" i="8"/>
  <c r="C10" i="8"/>
  <c r="C9" i="8"/>
  <c r="C8" i="8"/>
  <c r="C7" i="8"/>
  <c r="C6" i="8"/>
  <c r="C5" i="8"/>
  <c r="D39" i="6"/>
  <c r="C39" i="6"/>
  <c r="D38" i="6"/>
  <c r="C38" i="6"/>
  <c r="D37" i="6"/>
  <c r="C37" i="6"/>
  <c r="D36" i="6"/>
  <c r="C36" i="6"/>
  <c r="D35" i="6"/>
  <c r="C35" i="6"/>
  <c r="D34" i="6"/>
  <c r="C34" i="6"/>
  <c r="D33" i="6"/>
  <c r="C33" i="6"/>
  <c r="D32" i="6"/>
  <c r="C32" i="6"/>
  <c r="D31" i="6"/>
  <c r="C31" i="6"/>
  <c r="D30" i="6"/>
  <c r="C30" i="6"/>
  <c r="D29" i="6"/>
  <c r="C29" i="6"/>
  <c r="D28" i="6"/>
  <c r="C28" i="6"/>
  <c r="D27" i="6"/>
  <c r="C27" i="6"/>
  <c r="D26" i="6"/>
  <c r="C26" i="6"/>
  <c r="D25" i="6"/>
  <c r="C25" i="6"/>
  <c r="D24" i="6"/>
  <c r="C24" i="6"/>
  <c r="D23" i="6"/>
  <c r="C23" i="6"/>
  <c r="D22" i="6"/>
  <c r="C22" i="6"/>
  <c r="D21" i="6"/>
  <c r="C21" i="6"/>
  <c r="D20" i="6"/>
  <c r="C20" i="6"/>
  <c r="D19" i="6"/>
  <c r="C19" i="6"/>
  <c r="D18" i="6"/>
  <c r="C18" i="6"/>
  <c r="D17" i="6"/>
  <c r="C17" i="6"/>
  <c r="D16" i="6"/>
  <c r="C16" i="6"/>
  <c r="D15" i="6"/>
  <c r="C15" i="6"/>
  <c r="D14" i="6"/>
  <c r="C14" i="6"/>
  <c r="D13" i="6"/>
  <c r="C13" i="6"/>
  <c r="D12" i="6"/>
  <c r="C12" i="6"/>
  <c r="D11" i="6"/>
  <c r="C11" i="6"/>
  <c r="D10" i="6"/>
  <c r="C10" i="6"/>
  <c r="D9" i="6"/>
  <c r="C9" i="6"/>
  <c r="D8" i="6"/>
  <c r="C8" i="6"/>
  <c r="D7" i="6"/>
  <c r="C7" i="6"/>
  <c r="D6" i="6"/>
  <c r="C6" i="6"/>
  <c r="D5" i="6"/>
  <c r="C5" i="6"/>
  <c r="D4" i="6"/>
  <c r="D40" i="5"/>
  <c r="C40" i="5"/>
  <c r="D39" i="5"/>
  <c r="C39" i="5"/>
  <c r="D38" i="5"/>
  <c r="C38" i="5"/>
  <c r="D37" i="5"/>
  <c r="C37" i="5"/>
  <c r="D36" i="5"/>
  <c r="C36" i="5"/>
  <c r="D35" i="5"/>
  <c r="C35" i="5"/>
  <c r="D34" i="5"/>
  <c r="C34" i="5"/>
  <c r="D33" i="5"/>
  <c r="C33" i="5"/>
  <c r="D32" i="5"/>
  <c r="C32" i="5"/>
  <c r="D31" i="5"/>
  <c r="C31" i="5"/>
  <c r="D30" i="5"/>
  <c r="C30" i="5"/>
  <c r="D29" i="5"/>
  <c r="C29" i="5"/>
  <c r="D28" i="5"/>
  <c r="C28" i="5"/>
  <c r="D27" i="5"/>
  <c r="C27" i="5"/>
  <c r="D26" i="5"/>
  <c r="C26" i="5"/>
  <c r="D25" i="5"/>
  <c r="C25" i="5"/>
  <c r="D24" i="5"/>
  <c r="C24" i="5"/>
  <c r="D23" i="5"/>
  <c r="C23" i="5"/>
  <c r="D22" i="5"/>
  <c r="C22" i="5"/>
  <c r="D21" i="5"/>
  <c r="C21" i="5"/>
  <c r="D20" i="5"/>
  <c r="C20" i="5"/>
  <c r="D19" i="5"/>
  <c r="C19" i="5"/>
  <c r="D18" i="5"/>
  <c r="C18" i="5"/>
  <c r="D17" i="5"/>
  <c r="C17" i="5"/>
  <c r="D16" i="5"/>
  <c r="C16" i="5"/>
  <c r="D15" i="5"/>
  <c r="C15" i="5"/>
  <c r="D14" i="5"/>
  <c r="C14" i="5"/>
  <c r="D13" i="5"/>
  <c r="C13" i="5"/>
  <c r="D12" i="5"/>
  <c r="C12" i="5"/>
  <c r="D11" i="5"/>
  <c r="C11" i="5"/>
  <c r="D10" i="5"/>
  <c r="C10" i="5"/>
  <c r="D9" i="5"/>
  <c r="C9" i="5"/>
  <c r="D8" i="5"/>
  <c r="C8" i="5"/>
  <c r="D7" i="5"/>
  <c r="C7" i="5"/>
  <c r="D6" i="5"/>
  <c r="C6" i="5"/>
  <c r="B20" i="24" a="1"/>
  <c r="B20" i="24" l="1"/>
  <c r="F39" i="6"/>
  <c r="F35" i="6"/>
  <c r="F31" i="6"/>
  <c r="F27" i="6"/>
  <c r="F23" i="6"/>
  <c r="F19" i="6"/>
  <c r="F15" i="6"/>
  <c r="F11" i="6"/>
  <c r="F7" i="6"/>
  <c r="F38" i="6"/>
  <c r="F34" i="6"/>
  <c r="F30" i="6"/>
  <c r="F26" i="6"/>
  <c r="F22" i="6"/>
  <c r="F18" i="6"/>
  <c r="F14" i="6"/>
  <c r="F10" i="6"/>
  <c r="F6" i="6"/>
  <c r="F33" i="6"/>
  <c r="F25" i="6"/>
  <c r="F21" i="6"/>
  <c r="F17" i="6"/>
  <c r="F9" i="6"/>
  <c r="F5" i="6"/>
  <c r="F28" i="6"/>
  <c r="F16" i="6"/>
  <c r="F32" i="6"/>
  <c r="F29" i="6"/>
  <c r="F20" i="6"/>
  <c r="F8" i="6"/>
  <c r="F24" i="6"/>
  <c r="F4" i="6"/>
  <c r="F37" i="6"/>
  <c r="F13" i="6"/>
  <c r="F36" i="6"/>
  <c r="F12" i="6"/>
  <c r="F4" i="8" a="1"/>
  <c r="D4" i="4" a="1"/>
  <c r="E4" i="2" a="1"/>
  <c r="B17" i="21"/>
  <c r="B21" i="24" a="1"/>
  <c r="B21" i="24" l="1"/>
  <c r="F5" i="8"/>
  <c r="F6" i="8"/>
  <c r="F10" i="8"/>
  <c r="F7" i="8"/>
  <c r="F8" i="8"/>
  <c r="F9" i="8"/>
  <c r="F4" i="8"/>
  <c r="F7" i="4"/>
  <c r="F6" i="4"/>
  <c r="F4" i="4"/>
  <c r="E6" i="4"/>
  <c r="E7" i="4"/>
  <c r="E5" i="4"/>
  <c r="E4" i="4"/>
  <c r="G7" i="4"/>
  <c r="D7" i="4"/>
  <c r="D4" i="4"/>
  <c r="D6" i="4"/>
  <c r="G5" i="4"/>
  <c r="D5" i="4"/>
  <c r="G6" i="4"/>
  <c r="F5" i="4"/>
  <c r="G4" i="4"/>
  <c r="E8" i="2"/>
  <c r="E7" i="2"/>
  <c r="E4" i="2"/>
  <c r="E6" i="2"/>
  <c r="E5" i="2"/>
  <c r="B22" i="24" a="1"/>
  <c r="B22" i="24" l="1"/>
  <c r="B23" i="24" a="1"/>
  <c r="B23" i="24" l="1"/>
  <c r="B24" i="24" a="1"/>
  <c r="B24" i="24" l="1"/>
  <c r="B25" i="24" a="1"/>
  <c r="B25" i="24" l="1"/>
  <c r="B26" i="24" a="1"/>
  <c r="B26" i="24" l="1"/>
  <c r="B27" i="24" a="1"/>
  <c r="B27" i="24" l="1"/>
  <c r="B28" i="24" a="1"/>
  <c r="B28" i="24" l="1"/>
  <c r="B29" i="24" a="1"/>
  <c r="B29" i="24" l="1"/>
  <c r="B30" i="24" a="1"/>
  <c r="B30" i="24" l="1"/>
  <c r="B31" i="24" a="1"/>
  <c r="B31" i="24" l="1"/>
  <c r="B32" i="24" a="1"/>
  <c r="B32" i="24" l="1"/>
  <c r="B33" i="24" a="1"/>
  <c r="B33" i="24" l="1"/>
  <c r="B34" i="24" a="1"/>
  <c r="B34" i="24" l="1"/>
  <c r="B35" i="24" a="1"/>
  <c r="B35" i="24" l="1"/>
  <c r="B36" i="24" a="1"/>
  <c r="B36" i="24" l="1"/>
  <c r="B37" i="24" a="1"/>
  <c r="B37" i="24" l="1"/>
  <c r="B38" i="24" a="1"/>
  <c r="B38" i="24" l="1"/>
  <c r="B39" i="24" a="1"/>
  <c r="B39" i="24" l="1"/>
  <c r="B40" i="24" a="1"/>
  <c r="B40" i="24" l="1"/>
  <c r="B41" i="24" a="1"/>
  <c r="B41" i="24" l="1"/>
  <c r="B42" i="24" a="1"/>
  <c r="B42" i="24" l="1"/>
  <c r="B43" i="24" a="1"/>
  <c r="B43" i="24" l="1"/>
  <c r="B44" i="24" a="1"/>
  <c r="B44" i="24" l="1"/>
  <c r="B45" i="24" a="1"/>
  <c r="B45" i="24" l="1"/>
  <c r="B46" i="24" a="1"/>
  <c r="B46" i="24" l="1"/>
  <c r="B47" i="24" a="1"/>
  <c r="B47" i="24" l="1"/>
  <c r="B48" i="24" a="1"/>
  <c r="B48" i="24" l="1"/>
  <c r="B49" i="24" a="1"/>
  <c r="B49" i="24" l="1"/>
  <c r="B50" i="24" a="1"/>
  <c r="B50" i="24" l="1"/>
  <c r="B51" i="24" a="1"/>
  <c r="B51" i="24" l="1"/>
  <c r="B52" i="24" a="1"/>
  <c r="B52" i="24" l="1"/>
  <c r="B53" i="24" a="1"/>
  <c r="B53" i="24" l="1"/>
  <c r="B54" i="24" a="1"/>
  <c r="B54" i="24" l="1"/>
  <c r="B55" i="24" a="1"/>
  <c r="B55" i="24" l="1"/>
  <c r="B56" i="24" a="1"/>
  <c r="B56" i="24" l="1"/>
  <c r="B57" i="24" a="1"/>
  <c r="B57" i="24" l="1"/>
  <c r="B58" i="24" a="1"/>
  <c r="B58" i="24" l="1"/>
  <c r="B59" i="24" a="1"/>
  <c r="B59" i="24" l="1"/>
  <c r="B60" i="24" a="1"/>
  <c r="B60" i="24" l="1"/>
  <c r="B61" i="24" a="1"/>
  <c r="B61" i="24" l="1"/>
  <c r="B62" i="24" a="1"/>
  <c r="B62" i="24" l="1"/>
  <c r="B63" i="24" a="1"/>
  <c r="B63" i="24" l="1"/>
  <c r="B64" i="24" a="1"/>
  <c r="B64" i="24" l="1"/>
  <c r="B65" i="24" a="1"/>
  <c r="B65" i="24" l="1"/>
  <c r="B66" i="24" a="1"/>
  <c r="B66" i="24" l="1"/>
  <c r="B67" i="24" a="1"/>
  <c r="B67" i="24" l="1"/>
  <c r="B68" i="24" a="1"/>
  <c r="B68" i="24" l="1"/>
  <c r="B69" i="24" a="1"/>
  <c r="B69" i="24" l="1"/>
  <c r="B70" i="24" a="1"/>
  <c r="B70" i="24" l="1"/>
  <c r="B71" i="24" a="1"/>
  <c r="B71" i="24" l="1"/>
  <c r="B72" i="24" a="1"/>
  <c r="B72" i="24" l="1"/>
  <c r="B73" i="24" a="1"/>
  <c r="B73" i="24" l="1"/>
  <c r="B74" i="24" a="1"/>
  <c r="B74" i="24" l="1"/>
  <c r="B75" i="24" a="1"/>
  <c r="B75" i="24" l="1"/>
  <c r="B76" i="24" a="1"/>
  <c r="B76" i="24" l="1"/>
  <c r="B77" i="24" a="1"/>
  <c r="B77" i="24" l="1"/>
  <c r="B78" i="24" a="1"/>
  <c r="B78" i="24" l="1"/>
  <c r="B79" i="24" a="1"/>
  <c r="B79" i="24" l="1"/>
  <c r="B80" i="24" a="1"/>
  <c r="B80" i="24" l="1"/>
  <c r="B81" i="24" a="1"/>
  <c r="B81" i="24" l="1"/>
  <c r="B82" i="24" a="1"/>
  <c r="B82" i="24" l="1"/>
  <c r="B83" i="24" a="1"/>
  <c r="B83" i="24" l="1"/>
  <c r="B84" i="24" a="1"/>
  <c r="B84" i="24" l="1"/>
  <c r="B85" i="24" a="1"/>
  <c r="B85" i="24" l="1"/>
  <c r="B86" i="24" a="1"/>
  <c r="B86" i="24" l="1"/>
  <c r="B87" i="24" a="1"/>
  <c r="B87" i="24" l="1"/>
  <c r="B88" i="24" a="1"/>
  <c r="B88" i="24" l="1"/>
  <c r="B89" i="24" a="1"/>
  <c r="B89" i="24" l="1"/>
  <c r="B90" i="24" a="1"/>
  <c r="B90" i="24" l="1"/>
  <c r="B91" i="24" a="1"/>
  <c r="B91" i="24" l="1"/>
  <c r="B92" i="24" a="1"/>
  <c r="B92" i="24" l="1"/>
  <c r="B93" i="24" a="1"/>
  <c r="B93" i="24" l="1"/>
  <c r="B94" i="24" a="1"/>
  <c r="B94" i="24" l="1"/>
  <c r="B95" i="24" a="1"/>
  <c r="B95" i="24" l="1"/>
  <c r="B96" i="24" a="1"/>
  <c r="B96" i="24" l="1"/>
  <c r="B97" i="24" a="1"/>
  <c r="B97" i="24" l="1"/>
  <c r="B98" i="24" a="1"/>
  <c r="B98" i="24" l="1"/>
  <c r="B99" i="24" a="1"/>
  <c r="B99" i="24" l="1"/>
  <c r="B100" i="24" a="1"/>
  <c r="B100" i="24" l="1"/>
  <c r="B101" i="24" a="1"/>
  <c r="B101" i="24" l="1"/>
  <c r="B102" i="24" a="1"/>
  <c r="B102" i="24" l="1"/>
  <c r="B103" i="24" a="1"/>
  <c r="B103" i="24" l="1"/>
  <c r="B104" i="24" a="1"/>
  <c r="B104" i="24" l="1"/>
  <c r="B105" i="24" a="1"/>
  <c r="B105" i="24" l="1"/>
  <c r="B106" i="24" a="1"/>
  <c r="B106" i="24" l="1"/>
  <c r="B107" i="24" a="1"/>
  <c r="B107" i="24" l="1"/>
  <c r="B108" i="24" a="1"/>
  <c r="B108" i="24" l="1"/>
  <c r="B109" i="24" a="1"/>
  <c r="B109" i="24" l="1"/>
  <c r="B110" i="24" a="1"/>
  <c r="B110" i="24" l="1"/>
  <c r="B111" i="24" a="1"/>
  <c r="B111" i="24" l="1"/>
  <c r="B112" i="24" a="1"/>
  <c r="B112" i="24" l="1"/>
  <c r="B113" i="24" a="1"/>
  <c r="B113" i="24" l="1"/>
  <c r="B114" i="24" a="1"/>
  <c r="B114" i="24" l="1"/>
  <c r="B115" i="24" a="1"/>
  <c r="B115" i="24" l="1"/>
  <c r="B116" i="24" a="1"/>
  <c r="B116" i="24" l="1"/>
  <c r="B117" i="24" a="1"/>
  <c r="B117" i="24" l="1"/>
  <c r="B118" i="24" a="1"/>
  <c r="B118" i="24" l="1"/>
  <c r="B119" i="24" a="1"/>
  <c r="B119" i="24" l="1"/>
  <c r="B120" i="24" a="1"/>
  <c r="B120" i="24" l="1"/>
  <c r="B121" i="24" a="1"/>
  <c r="B121" i="24" l="1"/>
  <c r="B122" i="24" a="1"/>
  <c r="B122" i="24" l="1"/>
  <c r="B123" i="24" a="1"/>
  <c r="B123" i="24" l="1"/>
  <c r="B124" i="24" a="1"/>
  <c r="B124" i="24" l="1"/>
  <c r="B125" i="24" a="1"/>
  <c r="B125" i="24" l="1"/>
  <c r="B126" i="24" a="1"/>
  <c r="B126" i="24" l="1"/>
  <c r="B127" i="24" a="1"/>
  <c r="B127" i="24" l="1"/>
  <c r="B128" i="24" a="1"/>
  <c r="B128" i="24" l="1"/>
  <c r="B129" i="24" a="1"/>
  <c r="B129" i="24" l="1"/>
  <c r="B130" i="24" a="1"/>
  <c r="B130" i="24" l="1"/>
  <c r="B131" i="24" a="1"/>
  <c r="B131" i="24" l="1"/>
  <c r="B132" i="24" a="1"/>
  <c r="B132" i="24" l="1"/>
  <c r="B133" i="24" a="1"/>
  <c r="B133" i="24" l="1"/>
  <c r="B134" i="24" a="1"/>
  <c r="B134" i="24" l="1"/>
  <c r="B135" i="24" a="1"/>
  <c r="B135" i="24" l="1"/>
  <c r="B136" i="24" a="1"/>
  <c r="B136" i="24" l="1"/>
  <c r="B137" i="24" a="1"/>
  <c r="B137" i="24" l="1"/>
  <c r="B138" i="24" a="1"/>
  <c r="B138" i="24" l="1"/>
  <c r="B139" i="24" a="1"/>
  <c r="B139" i="24" l="1"/>
  <c r="B140" i="24" a="1"/>
  <c r="B140" i="24" l="1"/>
  <c r="B141" i="24" a="1"/>
  <c r="B141" i="24" l="1"/>
  <c r="B142" i="24" a="1"/>
  <c r="B142" i="24" l="1"/>
  <c r="B143" i="24" a="1"/>
  <c r="B143" i="24" l="1"/>
  <c r="B144" i="24" a="1"/>
  <c r="B144" i="24" l="1"/>
  <c r="B145" i="24" a="1"/>
  <c r="B145" i="24" l="1"/>
  <c r="B146" i="24" a="1"/>
  <c r="B146" i="24" l="1"/>
  <c r="B147" i="24" a="1"/>
  <c r="B147" i="24" l="1"/>
  <c r="B148" i="24" a="1"/>
  <c r="B148" i="24" l="1"/>
  <c r="B149" i="24" a="1"/>
  <c r="B149" i="24" l="1"/>
  <c r="B150" i="24" a="1"/>
  <c r="B150" i="24" l="1"/>
  <c r="B151" i="24" a="1"/>
  <c r="B151" i="24" l="1"/>
  <c r="B152" i="24" a="1"/>
  <c r="B152" i="24" l="1"/>
  <c r="B153" i="24" a="1"/>
  <c r="B153" i="24" l="1"/>
  <c r="B154" i="24" a="1"/>
  <c r="B154" i="24" l="1"/>
  <c r="B155" i="24" a="1"/>
  <c r="B155" i="24" l="1"/>
  <c r="B156" i="24" a="1"/>
  <c r="B156" i="24" l="1"/>
  <c r="B157" i="24" a="1"/>
  <c r="B157" i="24" l="1"/>
  <c r="B158" i="24" a="1"/>
  <c r="B158" i="24" l="1"/>
  <c r="B159" i="24" a="1"/>
  <c r="B159" i="24" l="1"/>
  <c r="B160" i="24" a="1"/>
  <c r="B160" i="24" l="1"/>
  <c r="B161" i="24" a="1"/>
  <c r="B161" i="24" l="1"/>
  <c r="B162" i="24" a="1"/>
  <c r="B162" i="24" l="1"/>
  <c r="B163" i="24" a="1"/>
  <c r="B163" i="24" l="1"/>
  <c r="B164" i="24" a="1"/>
  <c r="B164" i="24" l="1"/>
  <c r="B165" i="24" a="1"/>
  <c r="B165" i="24" l="1"/>
  <c r="B166" i="24" a="1"/>
  <c r="B166" i="24" l="1"/>
  <c r="B167" i="24" a="1"/>
  <c r="B167" i="24" l="1"/>
  <c r="B168" i="24" a="1"/>
  <c r="B168" i="24" l="1"/>
  <c r="B169" i="24" a="1"/>
  <c r="B169" i="24" l="1"/>
  <c r="B170" i="24" a="1"/>
  <c r="B170" i="24" l="1"/>
  <c r="B171" i="24" a="1"/>
  <c r="B171" i="24" l="1"/>
  <c r="B172" i="24" a="1"/>
  <c r="B172" i="24" l="1"/>
  <c r="B173" i="24" a="1"/>
  <c r="B173" i="24" l="1"/>
  <c r="B174" i="24" a="1"/>
  <c r="B174" i="24" l="1"/>
  <c r="B175" i="24" a="1"/>
  <c r="B175" i="24" l="1"/>
  <c r="B176" i="24" a="1"/>
  <c r="B176" i="24" l="1"/>
  <c r="B177" i="24" a="1"/>
  <c r="B177" i="24" l="1"/>
  <c r="B178" i="24" a="1"/>
  <c r="B178" i="24" l="1"/>
  <c r="B179" i="24" a="1"/>
  <c r="B179" i="24" l="1"/>
  <c r="B180" i="24" a="1"/>
  <c r="B180" i="24" l="1"/>
  <c r="B181" i="24" a="1"/>
  <c r="B181" i="24" l="1"/>
  <c r="B182" i="24" a="1"/>
  <c r="B182" i="24" l="1"/>
  <c r="B183" i="24" a="1"/>
  <c r="B183" i="24" l="1"/>
  <c r="B184" i="24" a="1"/>
  <c r="B184" i="24" l="1"/>
  <c r="B185" i="24" a="1"/>
  <c r="B185" i="24" l="1"/>
  <c r="B186" i="24" a="1"/>
  <c r="B186" i="24" l="1"/>
  <c r="B187" i="24" a="1"/>
  <c r="B187" i="24" l="1"/>
  <c r="B188" i="24" a="1"/>
  <c r="B188" i="24" l="1"/>
  <c r="B189" i="24" a="1"/>
  <c r="B189" i="24" l="1"/>
  <c r="B190" i="24" a="1"/>
  <c r="B190" i="24" l="1"/>
  <c r="B191" i="24" a="1"/>
  <c r="B191" i="24" l="1"/>
  <c r="B192" i="24" a="1"/>
  <c r="B192" i="24" l="1"/>
  <c r="B193" i="24" a="1"/>
  <c r="B193" i="24" l="1"/>
  <c r="B194" i="24" a="1"/>
  <c r="B194" i="24" l="1"/>
  <c r="B195" i="24" a="1"/>
  <c r="B195" i="24" l="1"/>
  <c r="B196" i="24" a="1"/>
  <c r="B196" i="24" l="1"/>
  <c r="B197" i="24" a="1"/>
  <c r="B197" i="24" l="1"/>
  <c r="B198" i="24" a="1"/>
  <c r="B198" i="24" l="1"/>
  <c r="B199" i="24" a="1"/>
  <c r="B199" i="24" l="1"/>
  <c r="B200" i="24" a="1"/>
  <c r="B200" i="24" l="1"/>
  <c r="B201" i="24" a="1"/>
  <c r="B201" i="24" l="1"/>
  <c r="B202" i="24" a="1"/>
  <c r="B202" i="24" l="1"/>
  <c r="B203" i="24" a="1"/>
  <c r="B203" i="24" l="1"/>
  <c r="B204" i="24" a="1"/>
  <c r="B205" i="24" a="1"/>
  <c r="B205" i="24" l="1"/>
  <c r="B204" i="24"/>
  <c r="B206" i="24" a="1"/>
  <c r="B206" i="24" l="1"/>
  <c r="B207" i="24" a="1"/>
  <c r="B207" i="24" l="1"/>
  <c r="B208" i="24" a="1"/>
  <c r="B208" i="24" l="1"/>
  <c r="B209" i="24" a="1"/>
  <c r="B209" i="24" l="1"/>
  <c r="B210" i="24" a="1"/>
  <c r="B210" i="24" l="1"/>
  <c r="B211" i="24" a="1"/>
  <c r="B211" i="24" l="1"/>
  <c r="B212" i="24" a="1"/>
  <c r="B212" i="24" l="1"/>
  <c r="B213" i="24" a="1"/>
  <c r="B213" i="24" l="1"/>
  <c r="B214" i="24" a="1"/>
  <c r="B214" i="24" l="1"/>
  <c r="B215" i="24" a="1"/>
  <c r="B215" i="24" l="1"/>
  <c r="B216" i="24" a="1"/>
  <c r="B216" i="24" l="1"/>
  <c r="B217" i="24" a="1"/>
  <c r="B217" i="24" l="1"/>
  <c r="B218" i="24" a="1"/>
  <c r="B218" i="24" l="1"/>
  <c r="B219" i="24" a="1"/>
  <c r="B219" i="24" l="1"/>
  <c r="B220" i="24" a="1"/>
  <c r="B220" i="24" l="1"/>
  <c r="B221" i="24" a="1"/>
  <c r="B221" i="24" l="1"/>
  <c r="B222" i="24" a="1"/>
  <c r="B222" i="24" l="1"/>
  <c r="B223" i="24" a="1"/>
  <c r="B223" i="24" l="1"/>
  <c r="B224" i="24" a="1"/>
  <c r="B224" i="24" l="1"/>
  <c r="B225" i="24" a="1"/>
  <c r="B225" i="24" l="1"/>
  <c r="B226" i="24" a="1"/>
  <c r="B226" i="24" l="1"/>
  <c r="B227" i="24" a="1"/>
  <c r="B227" i="24" l="1"/>
  <c r="B228" i="24" a="1"/>
  <c r="B228" i="24" l="1"/>
  <c r="B229" i="24" a="1"/>
  <c r="B229" i="24" l="1"/>
  <c r="B230" i="24" a="1"/>
  <c r="B230" i="24" l="1"/>
  <c r="B231" i="24" a="1"/>
  <c r="B231" i="24" l="1"/>
  <c r="B232" i="24" a="1"/>
  <c r="B232" i="24" l="1"/>
  <c r="B233" i="24" a="1"/>
  <c r="B233" i="24" l="1"/>
  <c r="B234" i="24" a="1"/>
  <c r="B234" i="24" l="1"/>
  <c r="B235" i="24" a="1"/>
  <c r="B235" i="24" l="1"/>
  <c r="B236" i="24" a="1"/>
  <c r="B236" i="24" l="1"/>
  <c r="B237" i="24" a="1"/>
  <c r="B237" i="24" l="1"/>
  <c r="B238" i="24" a="1"/>
  <c r="B238" i="24" l="1"/>
  <c r="B239" i="24" a="1"/>
  <c r="B239" i="24" l="1"/>
  <c r="B240" i="24" a="1"/>
  <c r="B240" i="24" l="1"/>
  <c r="B241" i="24" a="1"/>
  <c r="B241" i="24" l="1"/>
  <c r="B242" i="24" a="1"/>
  <c r="B242" i="24" l="1"/>
  <c r="B243" i="24" a="1"/>
  <c r="B243" i="24" l="1"/>
  <c r="B244" i="24" a="1"/>
  <c r="B244" i="24" l="1"/>
  <c r="B245" i="24" a="1"/>
  <c r="B245" i="24" l="1"/>
  <c r="B246" i="24" a="1"/>
  <c r="B246" i="24" l="1"/>
  <c r="B247" i="24" a="1"/>
  <c r="B247" i="24" l="1"/>
  <c r="B248" i="24" a="1"/>
  <c r="B248" i="24" l="1"/>
  <c r="B249" i="24" a="1"/>
  <c r="B249" i="24" l="1"/>
  <c r="B250" i="24" a="1"/>
  <c r="B250" i="24" l="1"/>
  <c r="B251" i="24" a="1"/>
  <c r="B251" i="24" l="1"/>
  <c r="B252" i="24" a="1"/>
  <c r="B252" i="24" l="1"/>
  <c r="B253" i="24" a="1"/>
  <c r="B253" i="24" l="1"/>
  <c r="B254" i="24" a="1"/>
  <c r="B254" i="24" l="1"/>
  <c r="B255" i="24" a="1"/>
  <c r="B255" i="24" l="1"/>
  <c r="B256" i="24" a="1"/>
  <c r="B256" i="24" l="1"/>
  <c r="B257" i="24" a="1"/>
  <c r="B257" i="24" l="1"/>
  <c r="B258" i="24" a="1"/>
  <c r="B258" i="24" l="1"/>
  <c r="B259" i="24" a="1"/>
  <c r="B259" i="24" l="1"/>
  <c r="B260" i="24" a="1"/>
  <c r="B260" i="24" l="1"/>
  <c r="B261" i="24" a="1"/>
  <c r="B261" i="24" l="1"/>
  <c r="B262" i="24" a="1"/>
  <c r="B262" i="24" l="1"/>
  <c r="B263" i="24" a="1"/>
  <c r="B263" i="24" l="1"/>
  <c r="B264" i="24" a="1"/>
  <c r="B264" i="24" l="1"/>
  <c r="B265" i="24" a="1"/>
  <c r="B265" i="24" l="1"/>
  <c r="B266" i="24" a="1"/>
  <c r="B266" i="24" l="1"/>
  <c r="B267" i="24" a="1"/>
  <c r="B267" i="24" l="1"/>
  <c r="B268" i="24" a="1"/>
  <c r="B268" i="24" l="1"/>
  <c r="B269" i="24" a="1"/>
  <c r="B269" i="24" l="1"/>
  <c r="B270" i="24" a="1"/>
  <c r="B270" i="24" l="1"/>
  <c r="B271" i="24" a="1"/>
  <c r="B271" i="24" l="1"/>
  <c r="B272" i="24" a="1"/>
  <c r="B272" i="24" l="1"/>
  <c r="B273" i="24" a="1"/>
  <c r="B273" i="24" l="1"/>
  <c r="B274" i="24" a="1"/>
  <c r="B274" i="24" l="1"/>
  <c r="B275" i="24" a="1"/>
  <c r="B275" i="24" l="1"/>
  <c r="B276" i="24" a="1"/>
  <c r="B276" i="24" l="1"/>
  <c r="B277" i="24" a="1"/>
  <c r="B277" i="24" l="1"/>
  <c r="B278" i="24" a="1"/>
  <c r="B278" i="24" l="1"/>
  <c r="B279" i="24" a="1"/>
  <c r="B279" i="24" l="1"/>
  <c r="B280" i="24" a="1"/>
  <c r="B280" i="24" l="1"/>
  <c r="B281" i="24" a="1"/>
  <c r="B281" i="24" l="1"/>
  <c r="B282" i="24" a="1"/>
  <c r="B282" i="24" l="1"/>
  <c r="B283" i="24" a="1"/>
  <c r="B283" i="24" l="1"/>
  <c r="B284" i="24" a="1"/>
  <c r="B284" i="24" l="1"/>
  <c r="B285" i="24" a="1"/>
  <c r="B285" i="24" l="1"/>
  <c r="B286" i="24" a="1"/>
  <c r="B286" i="24" l="1"/>
  <c r="B287" i="24" a="1"/>
  <c r="B287" i="24" l="1"/>
  <c r="B288" i="24" a="1"/>
  <c r="B288" i="24" l="1"/>
  <c r="B289" i="24" a="1"/>
  <c r="B289" i="24" l="1"/>
  <c r="B290" i="24" a="1"/>
  <c r="B290" i="24" l="1"/>
  <c r="B291" i="24" a="1"/>
  <c r="B291" i="24" l="1"/>
  <c r="B292" i="24" a="1"/>
  <c r="B292" i="24" l="1"/>
  <c r="B293" i="24" a="1"/>
  <c r="B293" i="24" l="1"/>
  <c r="B294" i="24" a="1"/>
  <c r="B294" i="24" l="1"/>
  <c r="B295" i="24" a="1"/>
  <c r="B295" i="24" l="1"/>
  <c r="B296" i="24" a="1"/>
  <c r="B296" i="24" l="1"/>
  <c r="B297" i="24" a="1"/>
  <c r="B297" i="24" l="1"/>
  <c r="B298" i="24" a="1"/>
  <c r="B298" i="24" l="1"/>
  <c r="B299" i="24" a="1"/>
  <c r="B299" i="24" l="1"/>
  <c r="B300" i="24" a="1"/>
  <c r="B300" i="24" l="1"/>
  <c r="B301" i="24" a="1"/>
  <c r="B301" i="24" l="1"/>
  <c r="B302" i="24" a="1"/>
  <c r="B302" i="24" l="1"/>
  <c r="B303" i="24" a="1"/>
  <c r="B303" i="24" l="1"/>
  <c r="B304" i="24" a="1"/>
  <c r="B304" i="24" l="1"/>
  <c r="B305" i="24" a="1"/>
  <c r="B305" i="24" l="1"/>
  <c r="B306" i="24" a="1"/>
  <c r="B306" i="24" l="1"/>
  <c r="B307" i="24" a="1"/>
  <c r="B307" i="24" l="1"/>
  <c r="B308" i="24" a="1"/>
  <c r="B308" i="24" l="1"/>
  <c r="B309" i="24" a="1"/>
  <c r="B309" i="24" l="1"/>
  <c r="B310" i="24" a="1"/>
  <c r="B310" i="24" l="1"/>
  <c r="B311" i="24" a="1"/>
  <c r="B311" i="24" l="1"/>
  <c r="B312" i="24" a="1"/>
  <c r="B312" i="24" l="1"/>
  <c r="B313" i="24" a="1"/>
  <c r="B313" i="24" l="1"/>
  <c r="B314" i="24" a="1"/>
  <c r="B314" i="24" l="1"/>
  <c r="B315" i="24" a="1"/>
  <c r="B315" i="24" l="1"/>
  <c r="B316" i="24" a="1"/>
  <c r="B316" i="24" l="1"/>
  <c r="B317" i="24" a="1"/>
  <c r="B317" i="24" l="1"/>
  <c r="B318" i="24" a="1"/>
  <c r="B318" i="24" l="1"/>
  <c r="B319" i="24" a="1"/>
  <c r="B319" i="24" l="1"/>
  <c r="B320" i="24" a="1"/>
  <c r="B320" i="24" l="1"/>
  <c r="B321" i="24" a="1"/>
  <c r="B321" i="24" l="1"/>
  <c r="B322" i="24" a="1"/>
  <c r="B322" i="24" l="1"/>
  <c r="B323" i="24" a="1"/>
  <c r="B323" i="24" l="1"/>
  <c r="B324" i="24" a="1"/>
  <c r="B324" i="24" l="1"/>
  <c r="B325" i="24" a="1"/>
  <c r="B325" i="24" l="1"/>
  <c r="B326" i="24" a="1"/>
  <c r="B326" i="24" l="1"/>
  <c r="B327" i="24" a="1"/>
  <c r="B327" i="24" l="1"/>
  <c r="B328" i="24" a="1"/>
  <c r="B328" i="24" l="1"/>
  <c r="B329" i="24" a="1"/>
  <c r="B329" i="24" l="1"/>
  <c r="B330" i="24" a="1"/>
  <c r="B330" i="24" l="1"/>
  <c r="B331" i="24" a="1"/>
  <c r="B331" i="24" l="1"/>
  <c r="B332" i="24" a="1"/>
  <c r="B332" i="24" l="1"/>
  <c r="B333" i="24" a="1"/>
  <c r="B333" i="24" l="1"/>
  <c r="B334" i="24" a="1"/>
  <c r="B334" i="24" l="1"/>
  <c r="B335" i="24" a="1"/>
  <c r="B335" i="24" l="1"/>
  <c r="B336" i="24" a="1"/>
  <c r="B336" i="24" l="1"/>
  <c r="B337" i="24" a="1"/>
  <c r="B337" i="24" l="1"/>
  <c r="B338" i="24" a="1"/>
  <c r="B338" i="24" l="1"/>
  <c r="B339" i="24" a="1"/>
  <c r="B339" i="24" l="1"/>
  <c r="B340" i="24" a="1"/>
  <c r="B340" i="24" l="1"/>
  <c r="B341" i="24" a="1"/>
  <c r="B341" i="24" l="1"/>
  <c r="B342" i="24" a="1"/>
  <c r="B342" i="24" l="1"/>
  <c r="B343" i="24" a="1"/>
  <c r="B343" i="24" l="1"/>
  <c r="B344" i="24" a="1"/>
  <c r="B344" i="24" l="1"/>
  <c r="B345" i="24" a="1"/>
  <c r="B345" i="24" l="1"/>
  <c r="B346" i="24" a="1"/>
  <c r="B346" i="24" l="1"/>
  <c r="B347" i="24" a="1"/>
  <c r="B347" i="24" l="1"/>
  <c r="B348" i="24" a="1"/>
  <c r="B348" i="24" l="1"/>
  <c r="B349" i="24" a="1"/>
  <c r="B349" i="24" l="1"/>
  <c r="B350" i="24" a="1"/>
  <c r="B350" i="24" l="1"/>
  <c r="B351" i="24" a="1"/>
  <c r="B351" i="24" l="1"/>
  <c r="B352" i="24" a="1"/>
  <c r="B352" i="24" l="1"/>
  <c r="B353" i="24" a="1"/>
  <c r="B353" i="24" l="1"/>
  <c r="B354" i="24" a="1"/>
  <c r="B354" i="24" l="1"/>
  <c r="B355" i="24" a="1"/>
  <c r="B355" i="24" l="1"/>
  <c r="B356" i="24" a="1"/>
  <c r="B356" i="24" l="1"/>
  <c r="B357" i="24" a="1"/>
  <c r="B357" i="24" l="1"/>
  <c r="B358" i="24" a="1"/>
  <c r="B358" i="24" l="1"/>
  <c r="B359" i="24" a="1"/>
  <c r="B359" i="24" l="1"/>
  <c r="B360" i="24" a="1"/>
  <c r="B360" i="24" l="1"/>
  <c r="B361" i="24" a="1"/>
  <c r="B361" i="24" l="1"/>
  <c r="B362" i="24" a="1"/>
  <c r="B362" i="24" l="1"/>
  <c r="B363" i="24" a="1"/>
  <c r="B363" i="24" l="1"/>
  <c r="B364" i="24" a="1"/>
  <c r="B364" i="24" l="1"/>
  <c r="B365" i="24" a="1"/>
  <c r="B365" i="24" l="1"/>
  <c r="B366" i="24" a="1"/>
  <c r="B366" i="24" l="1"/>
  <c r="B367" i="24" a="1"/>
  <c r="B367" i="24" l="1"/>
  <c r="B368" i="24" a="1"/>
  <c r="B368" i="24" l="1"/>
  <c r="B369" i="24" a="1"/>
  <c r="B369" i="24" l="1"/>
  <c r="B370" i="24" a="1"/>
  <c r="B370" i="24" l="1"/>
  <c r="B371" i="24" a="1"/>
  <c r="B371" i="24" l="1"/>
  <c r="B372" i="24" a="1"/>
  <c r="B372" i="24" l="1"/>
  <c r="B373" i="24" a="1"/>
  <c r="B373" i="24" l="1"/>
  <c r="B374" i="24" a="1"/>
  <c r="B374" i="24" l="1"/>
  <c r="B375" i="24" a="1"/>
  <c r="B375" i="24" l="1"/>
  <c r="B376" i="24" a="1"/>
  <c r="B376" i="24" l="1"/>
  <c r="B377" i="24" a="1"/>
  <c r="B377" i="24" l="1"/>
  <c r="B378" i="24" a="1"/>
  <c r="B378" i="24" l="1"/>
  <c r="B379" i="24" a="1"/>
  <c r="B379" i="24" l="1"/>
  <c r="B380" i="24" a="1"/>
  <c r="B380" i="24" l="1"/>
  <c r="B381" i="24" a="1"/>
  <c r="B381" i="24" l="1"/>
  <c r="B382" i="24" a="1"/>
  <c r="B382" i="24" l="1"/>
  <c r="B383" i="24" a="1"/>
  <c r="B383" i="24" l="1"/>
  <c r="B384" i="24" a="1"/>
  <c r="B384" i="24" l="1"/>
  <c r="B385" i="24" a="1"/>
  <c r="B385" i="24" l="1"/>
  <c r="B386" i="24" a="1"/>
  <c r="B386" i="24" l="1"/>
  <c r="B387" i="24" a="1"/>
  <c r="B387" i="24" l="1"/>
  <c r="B388" i="24" a="1"/>
  <c r="B388" i="24" l="1"/>
  <c r="B389" i="24" a="1"/>
  <c r="B389" i="24" l="1"/>
  <c r="B390" i="24" a="1"/>
  <c r="B390" i="24" l="1"/>
  <c r="B391" i="24" a="1"/>
  <c r="B391" i="24" l="1"/>
  <c r="B392" i="24" a="1"/>
  <c r="B392" i="24" l="1"/>
  <c r="B393" i="24" a="1"/>
  <c r="B393" i="24" l="1"/>
  <c r="B394" i="24" a="1"/>
  <c r="B394" i="24" l="1"/>
  <c r="B395" i="24" a="1"/>
  <c r="B395" i="24" l="1"/>
  <c r="B396" i="24" a="1"/>
  <c r="B396" i="24" l="1"/>
  <c r="B397" i="24" a="1"/>
  <c r="B397" i="24" l="1"/>
  <c r="B398" i="24" a="1"/>
  <c r="B398" i="24" l="1"/>
  <c r="B399" i="24" a="1"/>
  <c r="B399" i="24" l="1"/>
  <c r="B400" i="24" a="1"/>
  <c r="B400" i="24" l="1"/>
  <c r="B401" i="24" a="1"/>
  <c r="B401" i="24" l="1"/>
  <c r="B402" i="24" a="1"/>
  <c r="B402" i="24" l="1"/>
  <c r="B403" i="24" a="1"/>
  <c r="B403" i="24" l="1"/>
  <c r="B404" i="24" a="1"/>
  <c r="B404" i="24" l="1"/>
  <c r="B405" i="24" a="1"/>
  <c r="B405" i="24" l="1"/>
  <c r="B406" i="24" a="1"/>
  <c r="B406" i="24" l="1"/>
  <c r="B407" i="24" a="1"/>
  <c r="B407" i="24" l="1"/>
  <c r="B408" i="24" a="1"/>
  <c r="B408" i="24" l="1"/>
  <c r="B409" i="24" a="1"/>
  <c r="B409" i="24" l="1"/>
  <c r="B410" i="24" a="1"/>
  <c r="B410" i="24" l="1"/>
  <c r="B411" i="24" a="1"/>
  <c r="B411" i="24" l="1"/>
  <c r="B412" i="24" a="1"/>
  <c r="B412" i="24" l="1"/>
  <c r="B413" i="24" a="1"/>
  <c r="B413" i="24" l="1"/>
  <c r="B414" i="24" a="1"/>
  <c r="B414" i="24" l="1"/>
  <c r="B415" i="24" a="1"/>
  <c r="B415" i="24" l="1"/>
  <c r="B416" i="24" a="1"/>
  <c r="B416" i="24" l="1"/>
  <c r="B417" i="24" a="1"/>
  <c r="B417" i="24" l="1"/>
  <c r="B418" i="24" a="1"/>
  <c r="B418" i="24" l="1"/>
  <c r="B419" i="24" a="1"/>
  <c r="B419" i="24" l="1"/>
  <c r="B420" i="24" a="1"/>
  <c r="B420" i="24" l="1"/>
  <c r="B421" i="24" a="1"/>
  <c r="B421" i="24" l="1"/>
  <c r="B422" i="24" a="1"/>
  <c r="B422" i="24" l="1"/>
  <c r="B423" i="24" a="1"/>
  <c r="B423" i="24" l="1"/>
  <c r="B424" i="24" a="1"/>
  <c r="B424" i="24" l="1"/>
  <c r="B425" i="24" a="1"/>
  <c r="B425" i="24" l="1"/>
  <c r="B426" i="24" a="1"/>
  <c r="B426" i="24" l="1"/>
  <c r="B427" i="24" a="1"/>
  <c r="B427" i="24" l="1"/>
  <c r="B428" i="24" a="1"/>
  <c r="B428" i="24" l="1"/>
  <c r="B429" i="24" a="1"/>
  <c r="B429" i="24" l="1"/>
  <c r="B430" i="24" a="1"/>
  <c r="B430" i="24" l="1"/>
  <c r="B431" i="24" a="1"/>
  <c r="B431" i="24" l="1"/>
  <c r="B432" i="24" a="1"/>
  <c r="B432" i="24" l="1"/>
  <c r="B433" i="24" a="1"/>
  <c r="B433" i="24" l="1"/>
  <c r="B434" i="24" a="1"/>
  <c r="B434" i="24" l="1"/>
  <c r="B435" i="24" a="1"/>
  <c r="B435" i="24" l="1"/>
  <c r="B436" i="24" a="1"/>
  <c r="B436" i="24" l="1"/>
  <c r="B437" i="24" a="1"/>
  <c r="B437" i="24" l="1"/>
  <c r="B438" i="24" a="1"/>
  <c r="B438" i="24" l="1"/>
  <c r="B439" i="24" a="1"/>
  <c r="B439" i="24" l="1"/>
  <c r="B440" i="24" a="1"/>
  <c r="B440" i="24" l="1"/>
  <c r="B441" i="24" a="1"/>
  <c r="B441" i="24" l="1"/>
  <c r="B442" i="24" a="1"/>
  <c r="B442" i="24" l="1"/>
  <c r="B443" i="24" a="1"/>
  <c r="B443" i="24" l="1"/>
  <c r="B444" i="24" a="1"/>
  <c r="B444" i="24" l="1"/>
  <c r="B445" i="24" a="1"/>
  <c r="B445" i="24" l="1"/>
  <c r="B446" i="24" a="1"/>
  <c r="B446" i="24" l="1"/>
  <c r="B447" i="24" a="1"/>
  <c r="B447" i="24" l="1"/>
  <c r="B448" i="24" a="1"/>
  <c r="B448" i="24" l="1"/>
  <c r="B449" i="24" a="1"/>
  <c r="B449" i="24" l="1"/>
  <c r="B450" i="24" a="1"/>
  <c r="B450" i="24" l="1"/>
  <c r="B451" i="24" a="1"/>
  <c r="B451" i="24" l="1"/>
  <c r="B452" i="24" a="1"/>
  <c r="B452" i="24" l="1"/>
  <c r="B453" i="24" a="1"/>
  <c r="B453" i="24" l="1"/>
  <c r="B454" i="24" a="1"/>
  <c r="B454" i="24" l="1"/>
  <c r="B455" i="24" a="1"/>
  <c r="B455" i="24" l="1"/>
  <c r="B456" i="24" a="1"/>
  <c r="B456" i="24" l="1"/>
  <c r="B457" i="24" a="1"/>
  <c r="B457" i="24" l="1"/>
  <c r="B458" i="24" a="1"/>
  <c r="B458" i="24" l="1"/>
  <c r="B459" i="24" a="1"/>
  <c r="B459" i="24" l="1"/>
  <c r="B460" i="24" a="1"/>
  <c r="B460" i="24" l="1"/>
  <c r="B461" i="24" a="1"/>
  <c r="B461" i="24" l="1"/>
  <c r="B462" i="24" a="1"/>
  <c r="B462" i="24" l="1"/>
  <c r="B463" i="24" a="1"/>
  <c r="B463" i="24" l="1"/>
  <c r="B464" i="24" a="1"/>
  <c r="B464" i="24" l="1"/>
  <c r="B465" i="24" a="1"/>
  <c r="B465" i="24" l="1"/>
  <c r="B466" i="24" a="1"/>
  <c r="B466" i="24" l="1"/>
  <c r="B467" i="24" a="1"/>
  <c r="B467" i="24" l="1"/>
  <c r="B468" i="24" a="1"/>
  <c r="B468" i="24" l="1"/>
  <c r="B469" i="24" a="1"/>
  <c r="B469" i="24" l="1"/>
  <c r="B470" i="24" a="1"/>
  <c r="B470" i="24" l="1"/>
  <c r="B471" i="24" a="1"/>
  <c r="B471" i="24" l="1"/>
  <c r="B472" i="24" a="1"/>
  <c r="B472" i="24" l="1"/>
  <c r="B473" i="24" a="1"/>
  <c r="B473" i="24" l="1"/>
  <c r="B474" i="24" a="1"/>
  <c r="B474" i="24" l="1"/>
  <c r="B475" i="24" a="1"/>
  <c r="B475" i="24" l="1"/>
  <c r="B476" i="24" a="1"/>
  <c r="B476" i="24" l="1"/>
  <c r="B477" i="24" a="1"/>
  <c r="B477" i="24" l="1"/>
  <c r="B478" i="24" a="1"/>
  <c r="B478" i="24" l="1"/>
  <c r="B479" i="24" a="1"/>
  <c r="B479" i="24" l="1"/>
  <c r="B480" i="24" a="1"/>
  <c r="B480" i="24" l="1"/>
  <c r="B481" i="24" a="1"/>
  <c r="B481" i="24" l="1"/>
  <c r="B482" i="24" a="1"/>
  <c r="B482" i="24" l="1"/>
  <c r="B483" i="24" a="1"/>
  <c r="B483" i="24" l="1"/>
  <c r="B484" i="24" a="1"/>
  <c r="B484" i="24" l="1"/>
  <c r="B485" i="24" a="1"/>
  <c r="B485" i="24" l="1"/>
  <c r="B486" i="24" a="1"/>
  <c r="B486" i="24" l="1"/>
  <c r="B487" i="24" a="1"/>
  <c r="B487" i="24" l="1"/>
  <c r="B488" i="24" a="1"/>
  <c r="B488" i="24" l="1"/>
  <c r="B489" i="24" a="1"/>
  <c r="B489" i="24" l="1"/>
  <c r="B490" i="24" a="1"/>
  <c r="B490" i="24" l="1"/>
  <c r="B491" i="24" a="1"/>
  <c r="B491" i="24" l="1"/>
  <c r="B492" i="24" a="1"/>
  <c r="B492" i="24" l="1"/>
  <c r="B493" i="24" a="1"/>
  <c r="B493" i="24" l="1"/>
  <c r="B494" i="24" a="1"/>
  <c r="B494" i="24" l="1"/>
  <c r="B495" i="24" a="1"/>
  <c r="B495" i="24" l="1"/>
  <c r="B496" i="24" a="1"/>
  <c r="B496" i="24" l="1"/>
  <c r="B497" i="24" a="1"/>
  <c r="B497" i="24" l="1"/>
  <c r="B498" i="24" a="1"/>
  <c r="B498" i="24" l="1"/>
  <c r="B499" i="24" a="1"/>
  <c r="B499" i="24" l="1"/>
  <c r="B500" i="24" a="1"/>
  <c r="B500" i="24" l="1"/>
  <c r="B501" i="24" a="1"/>
  <c r="B501" i="24" l="1"/>
  <c r="B502" i="24" a="1"/>
  <c r="B502" i="24" l="1"/>
  <c r="B503" i="24" a="1"/>
  <c r="B503" i="24" l="1"/>
  <c r="B504" i="24" a="1"/>
  <c r="B504" i="24" l="1"/>
  <c r="B505" i="24" a="1"/>
  <c r="B505" i="24" l="1"/>
  <c r="B506" i="24" a="1"/>
  <c r="B506" i="24" l="1"/>
  <c r="B507" i="24" a="1"/>
  <c r="B507" i="24" l="1"/>
  <c r="B508" i="24" a="1"/>
  <c r="B508" i="24" l="1"/>
  <c r="B509" i="24" a="1"/>
  <c r="B509" i="24" l="1"/>
  <c r="B510" i="24" a="1"/>
  <c r="B510" i="24" l="1"/>
  <c r="B511" i="24" a="1"/>
  <c r="B511" i="24" l="1"/>
  <c r="B512" i="24" a="1"/>
  <c r="B512" i="24" l="1"/>
  <c r="B513" i="24" a="1"/>
  <c r="B513" i="24" l="1"/>
  <c r="B514" i="24" a="1"/>
  <c r="B514" i="24" l="1"/>
  <c r="B515" i="24" a="1"/>
  <c r="B515" i="24" l="1"/>
  <c r="B516" i="24" a="1"/>
  <c r="B516" i="24" l="1"/>
  <c r="B517" i="24" a="1"/>
  <c r="B517" i="24" l="1"/>
  <c r="B518" i="24" a="1"/>
  <c r="B518" i="24" l="1"/>
  <c r="B519" i="24" a="1"/>
  <c r="B519" i="24" l="1"/>
  <c r="B520" i="24" a="1"/>
  <c r="B520" i="24" l="1"/>
  <c r="B521" i="24" a="1"/>
  <c r="B521" i="24" l="1"/>
  <c r="B522" i="24" a="1"/>
  <c r="B522" i="24" l="1"/>
  <c r="B523" i="24" a="1"/>
  <c r="B523" i="24" l="1"/>
  <c r="B524" i="24" a="1"/>
  <c r="B524" i="24" l="1"/>
  <c r="B525" i="24" a="1"/>
  <c r="B525" i="24" l="1"/>
  <c r="B526" i="24" a="1"/>
  <c r="B526" i="24" l="1"/>
  <c r="B527" i="24" a="1"/>
  <c r="B527" i="24" l="1"/>
  <c r="B528" i="24" a="1"/>
  <c r="B528" i="24" l="1"/>
  <c r="B529" i="24" a="1"/>
  <c r="B529" i="24" l="1"/>
  <c r="B530" i="24" a="1"/>
  <c r="B530" i="24" l="1"/>
  <c r="B531" i="24" a="1"/>
  <c r="B531" i="24" l="1"/>
  <c r="B532" i="24" a="1"/>
  <c r="B532" i="24" l="1"/>
  <c r="B533" i="24" a="1"/>
  <c r="B533" i="24" l="1"/>
  <c r="B534" i="24" a="1"/>
  <c r="B534" i="24" l="1"/>
  <c r="B535" i="24" a="1"/>
  <c r="B535" i="24" l="1"/>
  <c r="B536" i="24" a="1"/>
  <c r="B536" i="24" l="1"/>
  <c r="B537" i="24" a="1"/>
  <c r="B537" i="24" l="1"/>
  <c r="B538" i="24" a="1"/>
  <c r="B538" i="24" l="1"/>
  <c r="B539" i="24" a="1"/>
  <c r="B539" i="24" l="1"/>
  <c r="B540" i="24" a="1"/>
  <c r="B540" i="24" l="1"/>
  <c r="B541" i="24" a="1"/>
  <c r="B541" i="24" l="1"/>
  <c r="B542" i="24" a="1"/>
  <c r="B542" i="24" l="1"/>
  <c r="B543" i="24" a="1"/>
  <c r="B543" i="24" l="1"/>
  <c r="B544" i="24" a="1"/>
  <c r="B544" i="24" l="1"/>
  <c r="B545" i="24" a="1"/>
  <c r="B545" i="24" l="1"/>
  <c r="B546" i="24" a="1"/>
  <c r="B546" i="24" l="1"/>
  <c r="B547" i="24" a="1"/>
  <c r="B547" i="24" l="1"/>
  <c r="B548" i="24" a="1"/>
  <c r="B548" i="24" l="1"/>
  <c r="B549" i="24" a="1"/>
  <c r="B549" i="24" l="1"/>
  <c r="B550" i="24" a="1"/>
  <c r="B550" i="24" l="1"/>
  <c r="B551" i="24" a="1"/>
  <c r="B551" i="24" l="1"/>
  <c r="B552" i="24" a="1"/>
  <c r="B552" i="24" l="1"/>
  <c r="B553" i="24" a="1"/>
  <c r="B553" i="24" l="1"/>
  <c r="B554" i="24" a="1"/>
  <c r="B554" i="24" l="1"/>
  <c r="B555" i="24" a="1"/>
  <c r="B555" i="24" l="1"/>
  <c r="B556" i="24" a="1"/>
  <c r="B556" i="24" l="1"/>
  <c r="B557" i="24" a="1"/>
  <c r="B557" i="24" l="1"/>
  <c r="B558" i="24" a="1"/>
  <c r="B558" i="24" l="1"/>
  <c r="B559" i="24" a="1"/>
  <c r="B559" i="24" l="1"/>
  <c r="B560" i="24" a="1"/>
  <c r="B560" i="24" l="1"/>
  <c r="B561" i="24" a="1"/>
  <c r="B561" i="24" l="1"/>
  <c r="B562" i="24" a="1"/>
  <c r="B562" i="24" l="1"/>
  <c r="B563" i="24" a="1"/>
  <c r="B563" i="24" l="1"/>
  <c r="B564" i="24" a="1"/>
  <c r="B564" i="24" l="1"/>
  <c r="B565" i="24" a="1"/>
  <c r="B565" i="24" l="1"/>
  <c r="B566" i="24" a="1"/>
  <c r="B566" i="24" l="1"/>
  <c r="B567" i="24" a="1"/>
  <c r="B567" i="24" l="1"/>
  <c r="B568" i="24" a="1"/>
  <c r="B568" i="24" l="1"/>
  <c r="B569" i="24" a="1"/>
  <c r="B569" i="24" l="1"/>
  <c r="B570" i="24" a="1"/>
  <c r="B570" i="24" l="1"/>
  <c r="B571" i="24" a="1"/>
  <c r="B571" i="24" l="1"/>
  <c r="B572" i="24" a="1"/>
  <c r="B572" i="24" l="1"/>
  <c r="B573" i="24" a="1"/>
  <c r="B573" i="24" l="1"/>
  <c r="B574" i="24" a="1"/>
  <c r="B574" i="24" l="1"/>
  <c r="B575" i="24" a="1"/>
  <c r="B575" i="24" l="1"/>
  <c r="B576" i="24" a="1"/>
  <c r="B576" i="24" l="1"/>
  <c r="B577" i="24" a="1"/>
  <c r="B577" i="24" l="1"/>
  <c r="B578" i="24" a="1"/>
  <c r="B578" i="24" l="1"/>
  <c r="B579" i="24" a="1"/>
  <c r="B579" i="24" l="1"/>
  <c r="B580" i="24" a="1"/>
  <c r="B580" i="24" l="1"/>
  <c r="B581" i="24" a="1"/>
  <c r="B581" i="24" l="1"/>
  <c r="B582" i="24" a="1"/>
  <c r="B582" i="24" l="1"/>
  <c r="B583" i="24" a="1"/>
  <c r="B583" i="24" l="1"/>
  <c r="B584" i="24" a="1"/>
  <c r="B584" i="24" l="1"/>
  <c r="B585" i="24" a="1"/>
  <c r="B585" i="24" l="1"/>
  <c r="B586" i="24" a="1"/>
  <c r="B586" i="24" l="1"/>
  <c r="B587" i="24" a="1"/>
  <c r="B587" i="24" l="1"/>
  <c r="B588" i="24" a="1"/>
  <c r="B588" i="24" l="1"/>
  <c r="B589" i="24" a="1"/>
  <c r="B589" i="24" l="1"/>
  <c r="B590" i="24" a="1"/>
  <c r="B590" i="24" l="1"/>
  <c r="B591" i="24" a="1"/>
  <c r="B591" i="24" l="1"/>
  <c r="B592" i="24" a="1"/>
  <c r="B592" i="24" l="1"/>
  <c r="B593" i="24" a="1"/>
  <c r="B593" i="24" l="1"/>
  <c r="B594" i="24" a="1"/>
  <c r="B594" i="24" l="1"/>
  <c r="B595" i="24" a="1"/>
  <c r="B595" i="24" l="1"/>
  <c r="B596" i="24" a="1"/>
  <c r="B596" i="24" l="1"/>
  <c r="B597" i="24" a="1"/>
  <c r="B597" i="24" l="1"/>
  <c r="B598" i="24" a="1"/>
  <c r="B598" i="24" l="1"/>
  <c r="B599" i="24" a="1"/>
  <c r="B599" i="24" l="1"/>
  <c r="B600" i="24" a="1"/>
  <c r="B600" i="24" l="1"/>
  <c r="B601" i="24" a="1"/>
  <c r="B601" i="24" l="1"/>
  <c r="B602" i="24" a="1"/>
  <c r="B602" i="24" l="1"/>
  <c r="B603" i="24" a="1"/>
  <c r="B603" i="24" l="1"/>
  <c r="B604" i="24" a="1"/>
  <c r="B604" i="24" l="1"/>
  <c r="B605" i="24" a="1"/>
  <c r="B605" i="24" l="1"/>
  <c r="B606" i="24" a="1"/>
  <c r="B606" i="24" l="1"/>
  <c r="B607" i="24" a="1"/>
  <c r="B607" i="24" l="1"/>
  <c r="B608" i="24" a="1"/>
  <c r="B608" i="24" l="1"/>
  <c r="B609" i="24" a="1"/>
  <c r="B609" i="24" l="1"/>
  <c r="B610" i="24" a="1"/>
  <c r="B610" i="24" l="1"/>
  <c r="B611" i="24" a="1"/>
  <c r="B611" i="24" l="1"/>
  <c r="B612" i="24" a="1"/>
  <c r="B612" i="24" l="1"/>
  <c r="B613" i="24" a="1"/>
  <c r="B613" i="24" l="1"/>
  <c r="B614" i="24" a="1"/>
  <c r="B614" i="24" l="1"/>
  <c r="B615" i="24" a="1"/>
  <c r="B615" i="24" l="1"/>
  <c r="B616" i="24" a="1"/>
  <c r="B616" i="24" l="1"/>
  <c r="B617" i="24" a="1"/>
  <c r="B617" i="24" l="1"/>
  <c r="B618" i="24" a="1"/>
  <c r="B618" i="24" l="1"/>
  <c r="B619" i="24" a="1"/>
  <c r="B619" i="24" l="1"/>
  <c r="B620" i="24" a="1"/>
  <c r="B620" i="24" l="1"/>
  <c r="B621" i="24" a="1"/>
  <c r="B621" i="24" l="1"/>
  <c r="B622" i="24" a="1"/>
  <c r="B622" i="24" l="1"/>
  <c r="B623" i="24" a="1"/>
  <c r="B623" i="24" l="1"/>
  <c r="B624" i="24" a="1"/>
  <c r="B624" i="24" l="1"/>
  <c r="B625" i="24" a="1"/>
  <c r="B625" i="24" l="1"/>
  <c r="B626" i="24" a="1"/>
  <c r="B626" i="24" l="1"/>
  <c r="B627" i="24" a="1"/>
  <c r="B627" i="24" l="1"/>
  <c r="B628" i="24" a="1"/>
  <c r="B628" i="24" l="1"/>
  <c r="B629" i="24" a="1"/>
  <c r="B629" i="24" l="1"/>
  <c r="B630" i="24" a="1"/>
  <c r="B630" i="24" l="1"/>
  <c r="B631" i="24" a="1"/>
  <c r="B631" i="24" l="1"/>
  <c r="B632" i="24" a="1"/>
  <c r="B632" i="24" l="1"/>
  <c r="B633" i="24" a="1"/>
  <c r="B633" i="24" l="1"/>
  <c r="B634" i="24" a="1"/>
  <c r="B634" i="24" l="1"/>
  <c r="B635" i="24" a="1"/>
  <c r="B635" i="24" l="1"/>
  <c r="B636" i="24" a="1"/>
  <c r="B636" i="24" l="1"/>
  <c r="B637" i="24" a="1"/>
  <c r="B637" i="24" l="1"/>
  <c r="B638" i="24" a="1"/>
  <c r="B638" i="24" l="1"/>
  <c r="B639" i="24" a="1"/>
  <c r="B639" i="24" l="1"/>
  <c r="B640" i="24" a="1"/>
  <c r="B640" i="24" l="1"/>
  <c r="B641" i="24" a="1"/>
  <c r="B641" i="24" l="1"/>
  <c r="B642" i="24" a="1"/>
  <c r="B642" i="24" l="1"/>
  <c r="B643" i="24" a="1"/>
  <c r="B643" i="24" l="1"/>
  <c r="B644" i="24" a="1"/>
  <c r="B644" i="24" l="1"/>
  <c r="B645" i="24" a="1"/>
  <c r="B645" i="24" l="1"/>
  <c r="B646" i="24" a="1"/>
  <c r="B646" i="24" l="1"/>
  <c r="B647" i="24" a="1"/>
  <c r="B647" i="24" l="1"/>
  <c r="B648" i="24" a="1"/>
  <c r="B648" i="24" l="1"/>
  <c r="B649" i="24" a="1"/>
  <c r="B649" i="24" l="1"/>
  <c r="B650" i="24" a="1"/>
  <c r="B650" i="24" l="1"/>
  <c r="B651" i="24" a="1"/>
  <c r="B651" i="24" l="1"/>
  <c r="B652" i="24" a="1"/>
  <c r="B652" i="24" l="1"/>
  <c r="B653" i="24" a="1"/>
  <c r="B653" i="24" l="1"/>
  <c r="B654" i="24" a="1"/>
  <c r="B654" i="24" l="1"/>
  <c r="B655" i="24" a="1"/>
  <c r="B655" i="24" l="1"/>
  <c r="B656" i="24" a="1"/>
  <c r="B656" i="24" l="1"/>
  <c r="B657" i="24" a="1"/>
  <c r="B657" i="24" l="1"/>
  <c r="B658" i="24" a="1"/>
  <c r="B658" i="24" l="1"/>
  <c r="B659" i="24" a="1"/>
  <c r="B659" i="24" l="1"/>
  <c r="B660" i="24" a="1"/>
  <c r="B660" i="24" l="1"/>
  <c r="B661" i="24" a="1"/>
  <c r="B661" i="24" l="1"/>
  <c r="B662" i="24" a="1"/>
  <c r="B662" i="24" l="1"/>
  <c r="B663" i="24" a="1"/>
  <c r="B663" i="24" l="1"/>
  <c r="B664" i="24" a="1"/>
  <c r="B664" i="24" l="1"/>
  <c r="B665" i="24" a="1"/>
  <c r="B665" i="24" l="1"/>
  <c r="B666" i="24" a="1"/>
  <c r="B666" i="24" l="1"/>
  <c r="B667" i="24" a="1"/>
  <c r="B667" i="24" l="1"/>
  <c r="B668" i="24" a="1"/>
  <c r="B668" i="24" l="1"/>
  <c r="B669" i="24" a="1"/>
  <c r="B669" i="24" l="1"/>
  <c r="B670" i="24" a="1"/>
  <c r="B670" i="24" l="1"/>
  <c r="B671" i="24" a="1"/>
  <c r="B671" i="24" l="1"/>
  <c r="B672" i="24" a="1"/>
  <c r="B672" i="24" l="1"/>
  <c r="B673" i="24" a="1"/>
  <c r="B673" i="24" l="1"/>
  <c r="B674" i="24" a="1"/>
  <c r="B674" i="24" l="1"/>
  <c r="B675" i="24" a="1"/>
  <c r="B675" i="24" l="1"/>
  <c r="B676" i="24" a="1"/>
  <c r="B676" i="24" l="1"/>
  <c r="B677" i="24" a="1"/>
  <c r="B677" i="24" l="1"/>
  <c r="B678" i="24" a="1"/>
  <c r="B678" i="24" l="1"/>
  <c r="B679" i="24" a="1"/>
  <c r="B679" i="24" l="1"/>
  <c r="B680" i="24" a="1"/>
  <c r="B680" i="24" l="1"/>
  <c r="B681" i="24" a="1"/>
  <c r="B681" i="24" l="1"/>
  <c r="B682" i="24" a="1"/>
  <c r="B682" i="24" l="1"/>
  <c r="B683" i="24" a="1"/>
  <c r="B683" i="24" l="1"/>
  <c r="B684" i="24" a="1"/>
  <c r="B684" i="24" l="1"/>
  <c r="B685" i="24" a="1"/>
  <c r="B685" i="24" l="1"/>
  <c r="B686" i="24" a="1"/>
  <c r="B686" i="24" l="1"/>
  <c r="B687" i="24" a="1"/>
  <c r="B687" i="24" l="1"/>
  <c r="B688" i="24" a="1"/>
  <c r="B688" i="24" l="1"/>
  <c r="B689" i="24" a="1"/>
  <c r="B689" i="24" l="1"/>
  <c r="B690" i="24" a="1"/>
  <c r="B690" i="24" l="1"/>
  <c r="B691" i="24" a="1"/>
  <c r="B691" i="24" l="1"/>
  <c r="B692" i="24" a="1"/>
  <c r="B692" i="24" l="1"/>
  <c r="B693" i="24" a="1"/>
  <c r="B693" i="24" l="1"/>
  <c r="B694" i="24" a="1"/>
  <c r="B694" i="24" l="1"/>
  <c r="B695" i="24" a="1"/>
  <c r="B695" i="24" l="1"/>
  <c r="B696" i="24" a="1"/>
  <c r="B696" i="24" l="1"/>
  <c r="B697" i="24" a="1"/>
  <c r="B697" i="24" l="1"/>
  <c r="B698" i="24" a="1"/>
  <c r="B698" i="24" l="1"/>
  <c r="B699" i="24" a="1"/>
  <c r="B699" i="24" l="1"/>
  <c r="B700" i="24" a="1"/>
  <c r="B700" i="24" l="1"/>
  <c r="B701" i="24" a="1"/>
  <c r="B701" i="24" l="1"/>
  <c r="B702" i="24" a="1"/>
  <c r="B702" i="24" l="1"/>
  <c r="B703" i="24" a="1"/>
  <c r="B703" i="24" l="1"/>
  <c r="B704" i="24" a="1"/>
  <c r="B704" i="24" l="1"/>
  <c r="B705" i="24" a="1"/>
  <c r="B705" i="24" l="1"/>
  <c r="B706" i="24" a="1"/>
  <c r="B706" i="24" l="1"/>
  <c r="B707" i="24" a="1"/>
  <c r="B707" i="24" l="1"/>
  <c r="B708" i="24" a="1"/>
  <c r="B708" i="24" l="1"/>
  <c r="B709" i="24" a="1"/>
  <c r="B709" i="24" l="1"/>
  <c r="B710" i="24" a="1"/>
  <c r="B710" i="24" l="1"/>
  <c r="B711" i="24" a="1"/>
  <c r="B711" i="24" l="1"/>
  <c r="B712" i="24" a="1"/>
  <c r="B712" i="24" l="1"/>
  <c r="B713" i="24" a="1"/>
  <c r="B713" i="24" l="1"/>
  <c r="B714" i="24" a="1"/>
  <c r="B714" i="24" l="1"/>
  <c r="B715" i="24" a="1"/>
  <c r="B715" i="24" l="1"/>
  <c r="B716" i="24" a="1"/>
  <c r="B716" i="24" l="1"/>
  <c r="B717" i="24" a="1"/>
  <c r="B717" i="24" l="1"/>
  <c r="B718" i="24" a="1"/>
  <c r="B718" i="24" l="1"/>
  <c r="B719" i="24" a="1"/>
  <c r="B719" i="24" l="1"/>
  <c r="B720" i="24" a="1"/>
  <c r="B720" i="24" l="1"/>
  <c r="B721" i="24" a="1"/>
  <c r="B721" i="24" l="1"/>
  <c r="B722" i="24" a="1"/>
  <c r="B722" i="24" l="1"/>
  <c r="B723" i="24" a="1"/>
  <c r="B723" i="24" l="1"/>
  <c r="B724" i="24" a="1"/>
  <c r="B724" i="24" l="1"/>
  <c r="B725" i="24" a="1"/>
  <c r="B725" i="24" l="1"/>
  <c r="B726" i="24" a="1"/>
  <c r="B726" i="24" l="1"/>
  <c r="B727" i="24" a="1"/>
  <c r="B727" i="24" l="1"/>
  <c r="B728" i="24" a="1"/>
  <c r="B728" i="24" l="1"/>
  <c r="B729" i="24" a="1"/>
  <c r="B729" i="24" l="1"/>
  <c r="B730" i="24" a="1"/>
  <c r="B730" i="24" l="1"/>
  <c r="B731" i="24" a="1"/>
  <c r="B731" i="24" l="1"/>
  <c r="B732" i="24" a="1"/>
  <c r="B732" i="24" l="1"/>
  <c r="B733" i="24" a="1"/>
  <c r="B733" i="24" l="1"/>
  <c r="B734" i="24" a="1"/>
  <c r="B734" i="24" l="1"/>
  <c r="B735" i="24" a="1"/>
  <c r="B735" i="24" l="1"/>
  <c r="B736" i="24" a="1"/>
  <c r="B736" i="24" l="1"/>
  <c r="B737" i="24" a="1"/>
  <c r="B737" i="24" l="1"/>
  <c r="B738" i="24" a="1"/>
  <c r="B738" i="24" l="1"/>
  <c r="B739" i="24" a="1"/>
  <c r="B739" i="24" l="1"/>
  <c r="B740" i="24" a="1"/>
  <c r="B740" i="24" l="1"/>
  <c r="B741" i="24" a="1"/>
  <c r="B741" i="24" l="1"/>
  <c r="B742" i="24" a="1"/>
  <c r="B742" i="24" l="1"/>
  <c r="B743" i="24" a="1"/>
  <c r="B743" i="24" l="1"/>
  <c r="B744" i="24" a="1"/>
  <c r="B744" i="24" l="1"/>
  <c r="B745" i="24" a="1"/>
  <c r="B745" i="24" l="1"/>
  <c r="B746" i="24" a="1"/>
  <c r="B746" i="24" l="1"/>
  <c r="B747" i="24" a="1"/>
  <c r="B747" i="24" l="1"/>
  <c r="B748" i="24" a="1"/>
  <c r="B748" i="24" l="1"/>
  <c r="B749" i="24" a="1"/>
  <c r="B749" i="24" l="1"/>
  <c r="B750" i="24" a="1"/>
  <c r="B750" i="24" l="1"/>
  <c r="B751" i="24" a="1"/>
  <c r="B751" i="24" l="1"/>
  <c r="B752" i="24" a="1"/>
  <c r="B752" i="24" l="1"/>
  <c r="B753" i="24" a="1"/>
  <c r="B753" i="24" l="1"/>
  <c r="B754" i="24" a="1"/>
  <c r="B754" i="24" l="1"/>
  <c r="B755" i="24" a="1"/>
  <c r="B755" i="24" l="1"/>
  <c r="B756" i="24" a="1"/>
  <c r="B756" i="24" l="1"/>
  <c r="B757" i="24" a="1"/>
  <c r="B757" i="24" l="1"/>
  <c r="B758" i="24" a="1"/>
  <c r="B758" i="24" l="1"/>
  <c r="B759" i="24" a="1"/>
  <c r="B759" i="24" l="1"/>
  <c r="B760" i="24" a="1"/>
  <c r="B760" i="24" l="1"/>
  <c r="B761" i="24" a="1"/>
  <c r="B761" i="24" l="1"/>
  <c r="B762" i="24" a="1"/>
  <c r="B762" i="24" l="1"/>
  <c r="B763" i="24" a="1"/>
  <c r="B763" i="24" l="1"/>
  <c r="B764" i="24" a="1"/>
  <c r="B764" i="24" l="1"/>
  <c r="B765" i="24" a="1"/>
  <c r="B765" i="24" l="1"/>
  <c r="B766" i="24" a="1"/>
  <c r="B766" i="24" l="1"/>
  <c r="B767" i="24" a="1"/>
  <c r="B767" i="24" l="1"/>
  <c r="B768" i="24" a="1"/>
  <c r="B768" i="24" l="1"/>
  <c r="B769" i="24" a="1"/>
  <c r="B769" i="24" l="1"/>
  <c r="B770" i="24" a="1"/>
  <c r="B770" i="24" l="1"/>
  <c r="B771" i="24" a="1"/>
  <c r="B771" i="24" l="1"/>
  <c r="B772" i="24" a="1"/>
  <c r="B772" i="24" l="1"/>
  <c r="B773" i="24" a="1"/>
  <c r="B773" i="24" l="1"/>
  <c r="B774" i="24" a="1"/>
  <c r="B774" i="24" l="1"/>
  <c r="B775" i="24" a="1"/>
  <c r="B775" i="24" l="1"/>
  <c r="B776" i="24" a="1"/>
  <c r="B776" i="24" l="1"/>
  <c r="B777" i="24" a="1"/>
  <c r="B777" i="24" l="1"/>
  <c r="B778" i="24" a="1"/>
  <c r="B778" i="24" l="1"/>
  <c r="B779" i="24" a="1"/>
  <c r="B779" i="24" l="1"/>
  <c r="B780" i="24" a="1"/>
  <c r="B780" i="24" l="1"/>
  <c r="B781" i="24" a="1"/>
  <c r="B781" i="24" l="1"/>
  <c r="B782" i="24" a="1"/>
  <c r="B782" i="24" l="1"/>
  <c r="B783" i="24" a="1"/>
  <c r="B783" i="24" l="1"/>
  <c r="B784" i="24" a="1"/>
  <c r="B784" i="24" l="1"/>
  <c r="B785" i="24" a="1"/>
  <c r="B785" i="24" l="1"/>
  <c r="B786" i="24" a="1"/>
  <c r="B786" i="24" l="1"/>
  <c r="B787" i="24" a="1"/>
  <c r="B787" i="24" l="1"/>
  <c r="B788" i="24" a="1"/>
  <c r="B788" i="24" l="1"/>
  <c r="B789" i="24" a="1"/>
  <c r="B789" i="24" l="1"/>
  <c r="B790" i="24" a="1"/>
  <c r="B790" i="24" l="1"/>
  <c r="B791" i="24" a="1"/>
  <c r="B791" i="24" l="1"/>
  <c r="B792" i="24" a="1"/>
  <c r="B792" i="24" l="1"/>
  <c r="B793" i="24" a="1"/>
  <c r="B793" i="24" l="1"/>
  <c r="B794" i="24" a="1"/>
  <c r="B794" i="24" l="1"/>
  <c r="B795" i="24" a="1"/>
  <c r="B795" i="24" l="1"/>
  <c r="B796" i="24" a="1"/>
  <c r="B796" i="24" l="1"/>
  <c r="B797" i="24" a="1"/>
  <c r="B797" i="24" l="1"/>
  <c r="B798" i="24" a="1"/>
  <c r="B798" i="24" l="1"/>
  <c r="B799" i="24" a="1"/>
  <c r="B799" i="24" l="1"/>
  <c r="B800" i="24" a="1"/>
  <c r="B800" i="24" l="1"/>
  <c r="B801" i="24" a="1"/>
  <c r="B801" i="24" l="1"/>
  <c r="B802" i="24" a="1"/>
  <c r="B802" i="24" l="1"/>
  <c r="B803" i="24" a="1"/>
  <c r="B803" i="24" l="1"/>
  <c r="B804" i="24" a="1"/>
  <c r="B804" i="24" l="1"/>
  <c r="B805" i="24" a="1"/>
  <c r="B805" i="24" l="1"/>
  <c r="B806" i="24" a="1"/>
  <c r="B806" i="24" l="1"/>
  <c r="B807" i="24" a="1"/>
  <c r="B807" i="24" l="1"/>
  <c r="B808" i="24" a="1"/>
  <c r="B808" i="24" l="1"/>
  <c r="B809" i="24" a="1"/>
  <c r="B809" i="24" l="1"/>
  <c r="B810" i="24" a="1"/>
  <c r="B810" i="24" l="1"/>
  <c r="B811" i="24" a="1"/>
  <c r="B811" i="24" l="1"/>
  <c r="B812" i="24" a="1"/>
  <c r="B812" i="24" l="1"/>
  <c r="B813" i="24" a="1"/>
  <c r="B813" i="24" l="1"/>
  <c r="B814" i="24" a="1"/>
  <c r="B814" i="24" l="1"/>
  <c r="B815" i="24" a="1"/>
  <c r="B815" i="24" l="1"/>
  <c r="B816" i="24" a="1"/>
  <c r="B816" i="24" l="1"/>
  <c r="B817" i="24" a="1"/>
  <c r="B817" i="24" l="1"/>
  <c r="B818" i="24" a="1"/>
  <c r="B818" i="24" l="1"/>
  <c r="B819" i="24" a="1"/>
  <c r="B819" i="24" l="1"/>
  <c r="B820" i="24" a="1"/>
  <c r="B820" i="24" l="1"/>
  <c r="B821" i="24" a="1"/>
  <c r="B821" i="24" l="1"/>
  <c r="B822" i="24" a="1"/>
  <c r="B822" i="24" l="1"/>
  <c r="B823" i="24" a="1"/>
  <c r="B823" i="24" l="1"/>
  <c r="B824" i="24" a="1"/>
  <c r="B824" i="24" l="1"/>
  <c r="B825" i="24" a="1"/>
  <c r="B825" i="24" l="1"/>
  <c r="B826" i="24" a="1"/>
  <c r="B826" i="24" l="1"/>
  <c r="B827" i="24" a="1"/>
  <c r="B827" i="24" l="1"/>
  <c r="B828" i="24" a="1"/>
  <c r="B828" i="24" l="1"/>
  <c r="B829" i="24" a="1"/>
  <c r="B829" i="24" l="1"/>
  <c r="B830" i="24" a="1"/>
  <c r="B830" i="24" l="1"/>
  <c r="B831" i="24" a="1"/>
  <c r="B831" i="24" l="1"/>
  <c r="B832" i="24" a="1"/>
  <c r="B832" i="24" l="1"/>
  <c r="B833" i="24" a="1"/>
  <c r="B833" i="24" l="1"/>
  <c r="B834" i="24" a="1"/>
  <c r="B834" i="24" l="1"/>
  <c r="B835" i="24" a="1"/>
  <c r="B835" i="24" l="1"/>
  <c r="B836" i="24" a="1"/>
  <c r="B836" i="24" l="1"/>
  <c r="B837" i="24" a="1"/>
  <c r="B837" i="24" l="1"/>
  <c r="B838" i="24" a="1"/>
  <c r="B838" i="24" l="1"/>
  <c r="B839" i="24" a="1"/>
  <c r="B839" i="24" l="1"/>
  <c r="B840" i="24" a="1"/>
  <c r="B840" i="24" l="1"/>
  <c r="B841" i="24" a="1"/>
  <c r="B841" i="24" l="1"/>
  <c r="B842" i="24" a="1"/>
  <c r="B842" i="24" l="1"/>
  <c r="B843" i="24" a="1"/>
  <c r="B843" i="24" l="1"/>
  <c r="B844" i="24" a="1"/>
  <c r="B844" i="24" l="1"/>
  <c r="B845" i="24" a="1"/>
  <c r="B845" i="24" l="1"/>
  <c r="B846" i="24" a="1"/>
  <c r="B846" i="24" l="1"/>
  <c r="B847" i="24" a="1"/>
  <c r="B847" i="24" l="1"/>
  <c r="B848" i="24" a="1"/>
  <c r="B848" i="24" l="1"/>
  <c r="B849" i="24" a="1"/>
  <c r="B849" i="24" l="1"/>
  <c r="B850" i="24" a="1"/>
  <c r="B850" i="24" l="1"/>
  <c r="B851" i="24" a="1"/>
  <c r="B851" i="24" l="1"/>
  <c r="B852" i="24" a="1"/>
  <c r="B852" i="24" l="1"/>
  <c r="B853" i="24" a="1"/>
  <c r="B853" i="24" l="1"/>
  <c r="B854" i="24" a="1"/>
  <c r="B854" i="24" l="1"/>
  <c r="B855" i="24" a="1"/>
  <c r="B855" i="24" l="1"/>
  <c r="B856" i="24" a="1"/>
  <c r="B856" i="24" l="1"/>
  <c r="B857" i="24" a="1"/>
  <c r="B857" i="24" l="1"/>
  <c r="B858" i="24" a="1"/>
  <c r="B858" i="24" l="1"/>
  <c r="B859" i="24" a="1"/>
  <c r="B859" i="24" l="1"/>
  <c r="B860" i="24" a="1"/>
  <c r="B860" i="24" l="1"/>
  <c r="B861" i="24" a="1"/>
  <c r="B861" i="24" l="1"/>
  <c r="B862" i="24" a="1"/>
  <c r="B862" i="24" l="1"/>
  <c r="B863" i="24" a="1"/>
  <c r="B863" i="24" l="1"/>
  <c r="B864" i="24" a="1"/>
  <c r="B864" i="24" l="1"/>
  <c r="B865" i="24" a="1"/>
  <c r="B865" i="24" l="1"/>
  <c r="B866" i="24" a="1"/>
  <c r="B866" i="24" l="1"/>
  <c r="B867" i="24" a="1"/>
  <c r="B867" i="24" l="1"/>
  <c r="B868" i="24" a="1"/>
  <c r="B868" i="24" l="1"/>
  <c r="B869" i="24" a="1"/>
  <c r="B869" i="24" l="1"/>
  <c r="B870" i="24" a="1"/>
  <c r="B870" i="24" l="1"/>
  <c r="B871" i="24" a="1"/>
  <c r="B871" i="24" l="1"/>
  <c r="B872" i="24" a="1"/>
  <c r="B872" i="24" l="1"/>
  <c r="B873" i="24" a="1"/>
  <c r="B873" i="24" l="1"/>
  <c r="B874" i="24" a="1"/>
  <c r="B874" i="24" l="1"/>
  <c r="B875" i="24" a="1"/>
  <c r="B875" i="24" l="1"/>
  <c r="B876" i="24" a="1"/>
  <c r="B876" i="24" l="1"/>
  <c r="B877" i="24" a="1"/>
  <c r="B877" i="24" l="1"/>
  <c r="B878" i="24" a="1"/>
  <c r="B878" i="24" l="1"/>
  <c r="B879" i="24" a="1"/>
  <c r="B879" i="24" l="1"/>
  <c r="B880" i="24" a="1"/>
  <c r="B880" i="24" l="1"/>
  <c r="B881" i="24" a="1"/>
  <c r="B881" i="24" l="1"/>
  <c r="B882" i="24" a="1"/>
  <c r="B882" i="24" l="1"/>
  <c r="B883" i="24" a="1"/>
  <c r="B883" i="24" l="1"/>
  <c r="B884" i="24" a="1"/>
  <c r="B884" i="24" l="1"/>
  <c r="B885" i="24" a="1"/>
  <c r="B885" i="24" l="1"/>
  <c r="B886" i="24" a="1"/>
  <c r="B886" i="24" l="1"/>
  <c r="B887" i="24" a="1"/>
  <c r="B887" i="24" l="1"/>
  <c r="B888" i="24" a="1"/>
  <c r="B888" i="24" l="1"/>
  <c r="B889" i="24" a="1"/>
  <c r="B889" i="24" l="1"/>
  <c r="B890" i="24" a="1"/>
  <c r="B890" i="24" l="1"/>
  <c r="B891" i="24" a="1"/>
  <c r="B891" i="24" l="1"/>
  <c r="B892" i="24" a="1"/>
  <c r="B892" i="24" l="1"/>
  <c r="B893" i="24" a="1"/>
  <c r="B893" i="24" l="1"/>
  <c r="B894" i="24" a="1"/>
  <c r="B894" i="24" l="1"/>
  <c r="B895" i="24" a="1"/>
  <c r="B895" i="24" l="1"/>
  <c r="B896" i="24" a="1"/>
  <c r="B896" i="24" l="1"/>
  <c r="B897" i="24" a="1"/>
  <c r="B897" i="24" l="1"/>
  <c r="B898" i="24" a="1"/>
  <c r="B898" i="24" l="1"/>
  <c r="B899" i="24" a="1"/>
  <c r="B899" i="24" l="1"/>
  <c r="B900" i="24" a="1"/>
  <c r="B900" i="24" l="1"/>
  <c r="B901" i="24" a="1"/>
  <c r="B901" i="24" l="1"/>
  <c r="B902" i="24" a="1"/>
  <c r="B902" i="24" l="1"/>
  <c r="B903" i="24" a="1"/>
  <c r="B903" i="24" l="1"/>
  <c r="B904" i="24" a="1"/>
  <c r="B904" i="24" l="1"/>
  <c r="B905" i="24" a="1"/>
  <c r="B905" i="24" l="1"/>
  <c r="B906" i="24" a="1"/>
  <c r="B906" i="24" l="1"/>
  <c r="B907" i="24" a="1"/>
  <c r="B907" i="24" l="1"/>
  <c r="B908" i="24" a="1"/>
  <c r="B908" i="24" l="1"/>
  <c r="B909" i="24" a="1"/>
  <c r="B909" i="24" l="1"/>
  <c r="B910" i="24" a="1"/>
  <c r="B910" i="24" l="1"/>
  <c r="B911" i="24" a="1"/>
  <c r="B911" i="24" l="1"/>
  <c r="B912" i="24" a="1"/>
  <c r="B912" i="24" l="1"/>
  <c r="B913" i="24" a="1"/>
  <c r="B913" i="24" l="1"/>
  <c r="B914" i="24" a="1"/>
  <c r="B914" i="24" l="1"/>
  <c r="B915" i="24" a="1"/>
  <c r="B915" i="24" l="1"/>
  <c r="B916" i="24" a="1"/>
  <c r="B916" i="24" l="1"/>
  <c r="B917" i="24" a="1"/>
  <c r="B917" i="24" l="1"/>
  <c r="B918" i="24" a="1"/>
  <c r="B918" i="24" l="1"/>
  <c r="B919" i="24" a="1"/>
  <c r="B919" i="24" l="1"/>
  <c r="B920" i="24" a="1"/>
  <c r="B920" i="24" l="1"/>
  <c r="B921" i="24" a="1"/>
  <c r="B921" i="24" l="1"/>
  <c r="B922" i="24" a="1"/>
  <c r="B922" i="24" l="1"/>
  <c r="B923" i="24" a="1"/>
  <c r="B923" i="24" l="1"/>
  <c r="B924" i="24" a="1"/>
  <c r="B924" i="24" l="1"/>
  <c r="B925" i="24" a="1"/>
  <c r="B925" i="24" l="1"/>
  <c r="B926" i="24" a="1"/>
  <c r="B926" i="24" l="1"/>
  <c r="B927" i="24" a="1"/>
  <c r="B927" i="24" l="1"/>
  <c r="B928" i="24" a="1"/>
  <c r="B928" i="24" l="1"/>
  <c r="B929" i="24" a="1"/>
  <c r="B929" i="24" l="1"/>
  <c r="B930" i="24" a="1"/>
  <c r="B930" i="24" l="1"/>
  <c r="B931" i="24" a="1"/>
  <c r="B931" i="24" l="1"/>
  <c r="B932" i="24" a="1"/>
  <c r="B932" i="24" l="1"/>
  <c r="B933" i="24" a="1"/>
  <c r="B933" i="24" l="1"/>
  <c r="B934" i="24" a="1"/>
  <c r="B934" i="24" l="1"/>
  <c r="B935" i="24" a="1"/>
  <c r="B935" i="24" l="1"/>
  <c r="B936" i="24" a="1"/>
  <c r="B936" i="24" l="1"/>
  <c r="B937" i="24" a="1"/>
  <c r="B937" i="24" l="1"/>
  <c r="B938" i="24" a="1"/>
  <c r="B938" i="24" l="1"/>
  <c r="B939" i="24" a="1"/>
  <c r="B939" i="24" l="1"/>
  <c r="B940" i="24" a="1"/>
  <c r="B940" i="24" l="1"/>
  <c r="B941" i="24" a="1"/>
  <c r="B941" i="24" l="1"/>
  <c r="B942" i="24" a="1"/>
  <c r="B942" i="24" l="1"/>
  <c r="B943" i="24" a="1"/>
  <c r="B943" i="24" l="1"/>
  <c r="B944" i="24" a="1"/>
  <c r="B944" i="24" l="1"/>
  <c r="B945" i="24" a="1"/>
  <c r="B945" i="24" l="1"/>
  <c r="B946" i="24" a="1"/>
  <c r="B946" i="24" l="1"/>
  <c r="B947" i="24" a="1"/>
  <c r="B947" i="24" l="1"/>
  <c r="B948" i="24" a="1"/>
  <c r="B948" i="24" l="1"/>
  <c r="B949" i="24" a="1"/>
  <c r="B949" i="24" l="1"/>
  <c r="B950" i="24" a="1"/>
  <c r="B950" i="24" l="1"/>
  <c r="B951" i="24" a="1"/>
  <c r="B951" i="24" l="1"/>
  <c r="B952" i="24" a="1"/>
  <c r="B952" i="24" l="1"/>
  <c r="B953" i="24" a="1"/>
  <c r="B953" i="24" l="1"/>
  <c r="B954" i="24" a="1"/>
  <c r="B954" i="24" l="1"/>
  <c r="B955" i="24" a="1"/>
  <c r="B955" i="24" l="1"/>
  <c r="B956" i="24" a="1"/>
  <c r="B956" i="24" l="1"/>
  <c r="B957" i="24" a="1"/>
  <c r="B957" i="24" l="1"/>
  <c r="B958" i="24" a="1"/>
  <c r="B958" i="24" l="1"/>
  <c r="B959" i="24" a="1"/>
  <c r="B959" i="24" l="1"/>
  <c r="B960" i="24" a="1"/>
  <c r="B960" i="24" l="1"/>
  <c r="B961" i="24" a="1"/>
  <c r="B961" i="24" l="1"/>
  <c r="B962" i="24" a="1"/>
  <c r="B962" i="24" l="1"/>
  <c r="B963" i="24" a="1"/>
  <c r="B963" i="24" l="1"/>
  <c r="B964" i="24" a="1"/>
  <c r="B964" i="24" l="1"/>
  <c r="B965" i="24" a="1"/>
  <c r="B965" i="24" l="1"/>
  <c r="B966" i="24" a="1"/>
  <c r="B966" i="24" l="1"/>
  <c r="B967" i="24" a="1"/>
  <c r="B967" i="24" l="1"/>
  <c r="B968" i="24" a="1"/>
  <c r="B968" i="24" l="1"/>
  <c r="B969" i="24" a="1"/>
  <c r="B969" i="24" l="1"/>
  <c r="B970" i="24" a="1"/>
  <c r="B970" i="24" l="1"/>
  <c r="B971" i="24" a="1"/>
  <c r="B971" i="24" l="1"/>
  <c r="B972" i="24" a="1"/>
  <c r="B972" i="24" l="1"/>
  <c r="B973" i="24" a="1"/>
  <c r="B973" i="24" l="1"/>
  <c r="B974" i="24" a="1"/>
  <c r="B974" i="24" l="1"/>
  <c r="B975" i="24" a="1"/>
  <c r="B975" i="24" l="1"/>
  <c r="B976" i="24" a="1"/>
  <c r="B976" i="24" l="1"/>
  <c r="B977" i="24" a="1"/>
  <c r="B977" i="24" l="1"/>
  <c r="B978" i="24" a="1"/>
  <c r="B978" i="24" l="1"/>
  <c r="B979" i="24" a="1"/>
  <c r="B979" i="24" l="1"/>
  <c r="B980" i="24" a="1"/>
  <c r="B980" i="24" l="1"/>
  <c r="B981" i="24" a="1"/>
  <c r="B981" i="24" l="1"/>
  <c r="B982" i="24" a="1"/>
  <c r="B982" i="24" l="1"/>
  <c r="B983" i="24" a="1"/>
  <c r="B983" i="24" l="1"/>
  <c r="B984" i="24" a="1"/>
  <c r="B984" i="24" l="1"/>
  <c r="B985" i="24" a="1"/>
  <c r="B985" i="24" l="1"/>
  <c r="B986" i="24" a="1"/>
  <c r="B986" i="24" l="1"/>
  <c r="B987" i="24" a="1"/>
  <c r="B987" i="24" l="1"/>
  <c r="B988" i="24" a="1"/>
  <c r="B988" i="24" l="1"/>
  <c r="B989" i="24" a="1"/>
  <c r="B989" i="24" l="1"/>
  <c r="B990" i="24" a="1"/>
  <c r="B990" i="24" l="1"/>
  <c r="B991" i="24" a="1"/>
  <c r="B991" i="24" l="1"/>
  <c r="B992" i="24" a="1"/>
  <c r="B992" i="24" l="1"/>
  <c r="B993" i="24" a="1"/>
  <c r="B993" i="24" l="1"/>
  <c r="B994" i="24" a="1"/>
  <c r="B994" i="24" l="1"/>
  <c r="B995" i="24" a="1"/>
  <c r="B995" i="24" l="1"/>
  <c r="B996" i="24" a="1"/>
  <c r="B996" i="24" l="1"/>
  <c r="B997" i="24" a="1"/>
  <c r="B997" i="24" l="1"/>
  <c r="B998" i="24" a="1"/>
  <c r="B998" i="24" l="1"/>
  <c r="B999" i="24" a="1"/>
  <c r="B999" i="24" l="1"/>
  <c r="B1000" i="24" a="1"/>
  <c r="B1000" i="24" l="1"/>
  <c r="B1001" i="24" a="1"/>
  <c r="B1001" i="24" l="1"/>
  <c r="B1002" i="24" a="1"/>
  <c r="B1002" i="24" l="1"/>
  <c r="B1003" i="24" a="1"/>
  <c r="B1003" i="24" l="1"/>
  <c r="C4" i="24" a="1"/>
  <c r="C273" i="24"/>
  <c r="C597" i="24"/>
  <c r="C921" i="24"/>
  <c r="C238" i="24"/>
  <c r="C41" i="24"/>
  <c r="C365" i="24"/>
  <c r="C69" i="24"/>
  <c r="C459" i="24"/>
  <c r="C815" i="24"/>
  <c r="C178" i="24"/>
  <c r="C565" i="24"/>
  <c r="C911" i="24"/>
  <c r="C287" i="24"/>
  <c r="C664" i="24"/>
  <c r="C9" i="24"/>
  <c r="C396" i="24"/>
  <c r="C368" i="24"/>
  <c r="C810" i="24"/>
  <c r="C259" i="24"/>
  <c r="C722" i="24"/>
  <c r="C67" i="24"/>
  <c r="C232" i="24"/>
  <c r="C698" i="24"/>
  <c r="C151" i="24"/>
  <c r="C655" i="24"/>
  <c r="C262" i="24"/>
  <c r="C514" i="24"/>
  <c r="C53" i="24"/>
  <c r="C695" i="24"/>
  <c r="C281" i="24"/>
  <c r="C876" i="24"/>
  <c r="C549" i="24"/>
  <c r="C908" i="24"/>
  <c r="C477" i="24"/>
  <c r="C60" i="24"/>
  <c r="C733" i="24"/>
  <c r="C520" i="24"/>
  <c r="C82" i="24"/>
  <c r="C83" i="24"/>
  <c r="C84" i="24"/>
  <c r="C104" i="24"/>
  <c r="C536" i="24"/>
  <c r="C189" i="24"/>
  <c r="C227" i="24"/>
  <c r="C980" i="24"/>
  <c r="C430" i="24"/>
  <c r="C852" i="24"/>
  <c r="C268" i="24"/>
  <c r="C228" i="24"/>
  <c r="C494" i="24"/>
  <c r="C801" i="24"/>
  <c r="C985" i="24"/>
  <c r="C320" i="24"/>
  <c r="C679" i="24"/>
  <c r="C864" i="24"/>
  <c r="C309" i="24"/>
  <c r="C651" i="24"/>
  <c r="C993" i="24"/>
  <c r="C328" i="24"/>
  <c r="C149" i="24"/>
  <c r="C491" i="24"/>
  <c r="C243" i="24"/>
  <c r="C643" i="24"/>
  <c r="C7" i="24"/>
  <c r="C415" i="24"/>
  <c r="C797" i="24"/>
  <c r="C179" i="24"/>
  <c r="C586" i="24"/>
  <c r="C950" i="24"/>
  <c r="C354" i="24"/>
  <c r="C340" i="24"/>
  <c r="C833" i="24"/>
  <c r="C316" i="24"/>
  <c r="C789" i="24"/>
  <c r="C294" i="24"/>
  <c r="C370" i="24"/>
  <c r="C838" i="24"/>
  <c r="C343" i="24"/>
  <c r="C861" i="24"/>
  <c r="C164" i="24"/>
  <c r="C818" i="24"/>
  <c r="C474" i="24"/>
  <c r="C54" i="24"/>
  <c r="C730" i="24"/>
  <c r="C406" i="24"/>
  <c r="C296" i="24"/>
  <c r="C407" i="24"/>
  <c r="C20" i="24"/>
  <c r="C763" i="24"/>
  <c r="C589" i="24"/>
  <c r="C272" i="24"/>
  <c r="C339" i="24"/>
  <c r="C411" i="24"/>
  <c r="C531" i="24"/>
  <c r="C163" i="24"/>
  <c r="C567" i="24"/>
  <c r="C737" i="24"/>
  <c r="C302" i="24"/>
  <c r="C802" i="24"/>
  <c r="C448" i="24"/>
  <c r="C592" i="24"/>
  <c r="C888" i="24"/>
  <c r="C378" i="24"/>
  <c r="C803" i="24"/>
  <c r="C141" i="24"/>
  <c r="C195" i="24"/>
  <c r="C865" i="24"/>
  <c r="C338" i="24"/>
  <c r="C805" i="24"/>
  <c r="C377" i="24"/>
  <c r="C895" i="24"/>
  <c r="C781" i="24"/>
  <c r="C45" i="24"/>
  <c r="C327" i="24"/>
  <c r="C669" i="24"/>
  <c r="C4" i="24"/>
  <c r="C346" i="24"/>
  <c r="C167" i="24"/>
  <c r="C509" i="24"/>
  <c r="C264" i="24"/>
  <c r="C662" i="24"/>
  <c r="C28" i="24"/>
  <c r="C439" i="24"/>
  <c r="C816" i="24"/>
  <c r="C200" i="24"/>
  <c r="C606" i="24"/>
  <c r="C969" i="24"/>
  <c r="C375" i="24"/>
  <c r="C397" i="24"/>
  <c r="C858" i="24"/>
  <c r="C341" i="24"/>
  <c r="C811" i="24"/>
  <c r="C344" i="24"/>
  <c r="C402" i="24"/>
  <c r="C860" i="24"/>
  <c r="C371" i="24"/>
  <c r="C883" i="24"/>
  <c r="C197" i="24"/>
  <c r="C844" i="24"/>
  <c r="C515" i="24"/>
  <c r="C87" i="24"/>
  <c r="C756" i="24"/>
  <c r="C443" i="24"/>
  <c r="C850" i="24"/>
  <c r="C444" i="24"/>
  <c r="C102" i="24"/>
  <c r="C823" i="24"/>
  <c r="C618" i="24"/>
  <c r="C410" i="24"/>
  <c r="C467" i="24"/>
  <c r="C591" i="24"/>
  <c r="C594" i="24"/>
  <c r="C924" i="24"/>
  <c r="C619" i="24"/>
  <c r="C363" i="24"/>
  <c r="C741" i="24"/>
  <c r="C112" i="24"/>
  <c r="C490" i="24"/>
  <c r="C347" i="24"/>
  <c r="C135" i="24"/>
  <c r="C584" i="24"/>
  <c r="C986" i="24"/>
  <c r="C481" i="24"/>
  <c r="C892" i="24"/>
  <c r="C353" i="24"/>
  <c r="C779" i="24"/>
  <c r="C204" i="24"/>
  <c r="C205" i="24"/>
  <c r="C744" i="24"/>
  <c r="C284" i="24"/>
  <c r="C859" i="24"/>
  <c r="C559" i="24"/>
  <c r="C557" i="24"/>
  <c r="C66" i="24"/>
  <c r="C677" i="24"/>
  <c r="C486" i="24"/>
  <c r="C728" i="24"/>
  <c r="C434" i="24"/>
  <c r="C169" i="24"/>
  <c r="C907" i="24"/>
  <c r="C704" i="24"/>
  <c r="C56" i="24"/>
  <c r="C822" i="24"/>
  <c r="C588" i="24"/>
  <c r="C446" i="24"/>
  <c r="C216" i="24"/>
  <c r="C529" i="24"/>
  <c r="C685" i="24"/>
  <c r="C870" i="24"/>
  <c r="C656" i="24"/>
  <c r="C469" i="24"/>
  <c r="C649" i="24"/>
  <c r="C431" i="24"/>
  <c r="C314" i="24"/>
  <c r="C978" i="24"/>
  <c r="C743" i="24"/>
  <c r="C379" i="24"/>
  <c r="C804" i="24"/>
  <c r="C458" i="24"/>
  <c r="C772" i="24"/>
  <c r="C622" i="24"/>
  <c r="C21" i="24"/>
  <c r="C417" i="24"/>
  <c r="C813" i="24"/>
  <c r="C202" i="24"/>
  <c r="C95" i="24"/>
  <c r="C527" i="24"/>
  <c r="C351" i="24"/>
  <c r="C796" i="24"/>
  <c r="C265" i="24"/>
  <c r="C720" i="24"/>
  <c r="C158" i="24"/>
  <c r="C683" i="24"/>
  <c r="C117" i="24"/>
  <c r="C120" i="24"/>
  <c r="C696" i="24"/>
  <c r="C231" i="24"/>
  <c r="C881" i="24"/>
  <c r="C37" i="24"/>
  <c r="C631" i="24"/>
  <c r="C208" i="24"/>
  <c r="C814" i="24"/>
  <c r="C279" i="24"/>
  <c r="C990" i="24"/>
  <c r="C785" i="24"/>
  <c r="C548" i="24"/>
  <c r="C282" i="24"/>
  <c r="C103" i="24"/>
  <c r="C614" i="24"/>
  <c r="C408" i="24"/>
  <c r="C297" i="24"/>
  <c r="C25" i="24"/>
  <c r="C276" i="24"/>
  <c r="C634" i="24"/>
  <c r="C977" i="24"/>
  <c r="C657" i="24"/>
  <c r="C923" i="24"/>
  <c r="C109" i="24"/>
  <c r="C498" i="24"/>
  <c r="C568" i="24"/>
  <c r="C830" i="24"/>
  <c r="C748" i="24"/>
  <c r="C432" i="24"/>
  <c r="C1002" i="24"/>
  <c r="C196" i="24"/>
  <c r="C916" i="24"/>
  <c r="C39" i="24"/>
  <c r="C435" i="24"/>
  <c r="C831" i="24"/>
  <c r="C220" i="24"/>
  <c r="C113" i="24"/>
  <c r="C545" i="24"/>
  <c r="C372" i="24"/>
  <c r="C834" i="24"/>
  <c r="C286" i="24"/>
  <c r="C739" i="24"/>
  <c r="C224" i="24"/>
  <c r="C702" i="24"/>
  <c r="C138" i="24"/>
  <c r="C145" i="24"/>
  <c r="C718" i="24"/>
  <c r="C369" i="24"/>
  <c r="C904" i="24"/>
  <c r="C65" i="24"/>
  <c r="C654" i="24"/>
  <c r="C233" i="24"/>
  <c r="C839" i="24"/>
  <c r="C321" i="24"/>
  <c r="C16" i="24"/>
  <c r="C819" i="24"/>
  <c r="C576" i="24"/>
  <c r="C324" i="24"/>
  <c r="C793" i="24"/>
  <c r="C642" i="24"/>
  <c r="C445" i="24"/>
  <c r="C334" i="24"/>
  <c r="C26" i="24"/>
  <c r="C466" i="24"/>
  <c r="C727" i="24"/>
  <c r="C105" i="24"/>
  <c r="C984" i="24"/>
  <c r="C106" i="24"/>
  <c r="C495" i="24"/>
  <c r="C601" i="24"/>
  <c r="C661" i="24"/>
  <c r="C979" i="24"/>
  <c r="C841" i="24"/>
  <c r="C560" i="24"/>
  <c r="C504" i="24"/>
  <c r="C716" i="24"/>
  <c r="C570" i="24"/>
  <c r="C57" i="24"/>
  <c r="C453" i="24"/>
  <c r="C849" i="24"/>
  <c r="C256" i="24"/>
  <c r="C131" i="24"/>
  <c r="C563" i="24"/>
  <c r="C393" i="24"/>
  <c r="C853" i="24"/>
  <c r="C307" i="24"/>
  <c r="C758" i="24"/>
  <c r="C245" i="24"/>
  <c r="C721" i="24"/>
  <c r="C159" i="24"/>
  <c r="C173" i="24"/>
  <c r="C766" i="24"/>
  <c r="C398" i="24"/>
  <c r="C926" i="24"/>
  <c r="C111" i="24"/>
  <c r="C561" i="24"/>
  <c r="C58" i="24"/>
  <c r="C5" i="24"/>
  <c r="C473" i="24"/>
  <c r="C480" i="24"/>
  <c r="C967" i="24"/>
  <c r="C585" i="24"/>
  <c r="C71" i="24"/>
  <c r="C645" i="24"/>
  <c r="C246" i="24"/>
  <c r="C450" i="24"/>
  <c r="C36" i="24"/>
  <c r="C697" i="24"/>
  <c r="C12" i="24"/>
  <c r="C724" i="24"/>
  <c r="C403" i="24"/>
  <c r="C99" i="24"/>
  <c r="C638" i="24"/>
  <c r="C547" i="24"/>
  <c r="C360" i="24"/>
  <c r="C170" i="24"/>
  <c r="C706" i="24"/>
  <c r="C732" i="24"/>
  <c r="C616" i="24"/>
  <c r="C678" i="24"/>
  <c r="C717" i="24"/>
  <c r="C32" i="24"/>
  <c r="C635" i="24"/>
  <c r="C942" i="24"/>
  <c r="C736" i="24"/>
  <c r="C800" i="24"/>
  <c r="C254" i="24"/>
  <c r="C505" i="24"/>
  <c r="C357" i="24"/>
  <c r="C600" i="24"/>
  <c r="C385" i="24"/>
  <c r="C666" i="24"/>
  <c r="C526" i="24"/>
  <c r="C129" i="24"/>
  <c r="C579" i="24"/>
  <c r="C76" i="24"/>
  <c r="C23" i="24"/>
  <c r="C581" i="24"/>
  <c r="C501" i="24"/>
  <c r="C49" i="24"/>
  <c r="C605" i="24"/>
  <c r="C92" i="24"/>
  <c r="C740" i="24"/>
  <c r="C267" i="24"/>
  <c r="C478" i="24"/>
  <c r="C64" i="24"/>
  <c r="C745" i="24"/>
  <c r="C97" i="24"/>
  <c r="C746" i="24"/>
  <c r="C428" i="24"/>
  <c r="C152" i="24"/>
  <c r="C667" i="24"/>
  <c r="C575" i="24"/>
  <c r="C405" i="24"/>
  <c r="C212" i="24"/>
  <c r="C1000" i="24"/>
  <c r="C762" i="24"/>
  <c r="C646" i="24"/>
  <c r="C708" i="24"/>
  <c r="C773" i="24"/>
  <c r="C155" i="24"/>
  <c r="C686" i="24"/>
  <c r="C188" i="24"/>
  <c r="C299" i="24"/>
  <c r="C890" i="24"/>
  <c r="C384" i="24"/>
  <c r="C665" i="24"/>
  <c r="C595" i="24"/>
  <c r="C750" i="24"/>
  <c r="C500" i="24"/>
  <c r="C144" i="24"/>
  <c r="C917" i="24"/>
  <c r="C147" i="24"/>
  <c r="C615" i="24"/>
  <c r="C94" i="24"/>
  <c r="C59" i="24"/>
  <c r="C599" i="24"/>
  <c r="C522" i="24"/>
  <c r="C70" i="24"/>
  <c r="C625" i="24"/>
  <c r="C116" i="24"/>
  <c r="C760" i="24"/>
  <c r="C288" i="24"/>
  <c r="C506" i="24"/>
  <c r="C89" i="24"/>
  <c r="C767" i="24"/>
  <c r="C122" i="24"/>
  <c r="C768" i="24"/>
  <c r="C456" i="24"/>
  <c r="C209" i="24"/>
  <c r="C694" i="24"/>
  <c r="C611" i="24"/>
  <c r="C442" i="24"/>
  <c r="C249" i="24"/>
  <c r="C61" i="24"/>
  <c r="C792" i="24"/>
  <c r="C673" i="24"/>
  <c r="C734" i="24"/>
  <c r="C825" i="24"/>
  <c r="C218" i="24"/>
  <c r="C735" i="24"/>
  <c r="C943" i="24"/>
  <c r="C537" i="24"/>
  <c r="C47" i="24"/>
  <c r="C499" i="24"/>
  <c r="C922" i="24"/>
  <c r="C840" i="24"/>
  <c r="C843" i="24"/>
  <c r="C660" i="24"/>
  <c r="C715" i="24"/>
  <c r="C571" i="24"/>
  <c r="C291" i="24"/>
  <c r="C903" i="24"/>
  <c r="C454" i="24"/>
  <c r="C617" i="24"/>
  <c r="C624" i="24"/>
  <c r="C244" i="24"/>
  <c r="C949" i="24"/>
  <c r="C546" i="24"/>
  <c r="C312" i="24"/>
  <c r="C603" i="24"/>
  <c r="C479" i="24"/>
  <c r="C124" i="24"/>
  <c r="C582" i="24"/>
  <c r="C485" i="24"/>
  <c r="C15" i="24"/>
  <c r="C86" i="24"/>
  <c r="C991" i="24"/>
  <c r="C18" i="24"/>
  <c r="C55" i="24"/>
  <c r="C938" i="24"/>
  <c r="C140" i="24"/>
  <c r="C390" i="24"/>
  <c r="C868" i="24"/>
  <c r="C780" i="24"/>
  <c r="C711" i="24"/>
  <c r="C832" i="24"/>
  <c r="C709" i="24"/>
  <c r="C1003" i="24"/>
  <c r="C1001" i="24"/>
  <c r="C999" i="24"/>
  <c r="C998" i="24"/>
  <c r="C997" i="24"/>
  <c r="C6" i="24"/>
  <c r="C8" i="24"/>
  <c r="C10" i="24"/>
  <c r="C11" i="24"/>
  <c r="C13" i="24"/>
  <c r="C14" i="24"/>
  <c r="C17" i="24"/>
  <c r="C19" i="24"/>
  <c r="C22" i="24"/>
  <c r="C24" i="24"/>
  <c r="C27" i="24"/>
  <c r="C29" i="24"/>
  <c r="C30" i="24"/>
  <c r="C31" i="24"/>
  <c r="C33" i="24"/>
  <c r="C34" i="24"/>
  <c r="C35" i="24"/>
  <c r="C38" i="24"/>
  <c r="C40" i="24"/>
  <c r="C42" i="24"/>
  <c r="C43" i="24"/>
  <c r="C44" i="24"/>
  <c r="C46" i="24"/>
  <c r="C48" i="24"/>
  <c r="C50" i="24"/>
  <c r="C51" i="24"/>
  <c r="C52" i="24"/>
  <c r="C62" i="24"/>
  <c r="C63" i="24"/>
  <c r="C68" i="24"/>
  <c r="C72" i="24"/>
  <c r="C73" i="24"/>
  <c r="C74" i="24"/>
  <c r="C75" i="24"/>
  <c r="C77" i="24"/>
  <c r="C78" i="24"/>
  <c r="C79" i="24"/>
  <c r="C80" i="24"/>
  <c r="C81" i="24"/>
  <c r="C85" i="24"/>
  <c r="C88" i="24"/>
  <c r="C90" i="24"/>
  <c r="C91" i="24"/>
  <c r="C93" i="24"/>
  <c r="C96" i="24"/>
  <c r="C98" i="24"/>
  <c r="C100" i="24"/>
  <c r="C101" i="24"/>
  <c r="C107" i="24"/>
  <c r="C108" i="24"/>
  <c r="C110" i="24"/>
  <c r="C114" i="24"/>
  <c r="C115" i="24"/>
  <c r="C118" i="24"/>
  <c r="C119" i="24"/>
  <c r="C121" i="24"/>
  <c r="C123" i="24"/>
  <c r="C125" i="24"/>
  <c r="C126" i="24"/>
  <c r="C127" i="24"/>
  <c r="C128" i="24"/>
  <c r="C130" i="24"/>
  <c r="C132" i="24"/>
  <c r="C133" i="24"/>
  <c r="C134" i="24"/>
  <c r="C136" i="24"/>
  <c r="C137" i="24"/>
  <c r="C139" i="24"/>
  <c r="C142" i="24"/>
  <c r="C143" i="24"/>
  <c r="C146" i="24"/>
  <c r="C148" i="24"/>
  <c r="C150" i="24"/>
  <c r="C153" i="24"/>
  <c r="C154" i="24"/>
  <c r="C156" i="24"/>
  <c r="C157" i="24"/>
  <c r="C160" i="24"/>
  <c r="C161" i="24"/>
  <c r="C162" i="24"/>
  <c r="C165" i="24"/>
  <c r="C166" i="24"/>
  <c r="C168" i="24"/>
  <c r="C171" i="24"/>
  <c r="C172" i="24"/>
  <c r="C174" i="24"/>
  <c r="C175" i="24"/>
  <c r="C176" i="24"/>
  <c r="C177" i="24"/>
  <c r="C180" i="24"/>
  <c r="C181" i="24"/>
  <c r="C182" i="24"/>
  <c r="C183" i="24"/>
  <c r="C184" i="24"/>
  <c r="C185" i="24"/>
  <c r="C186" i="24"/>
  <c r="C187" i="24"/>
  <c r="C190" i="24"/>
  <c r="C191" i="24"/>
  <c r="C192" i="24"/>
  <c r="C193" i="24"/>
  <c r="C194" i="24"/>
  <c r="C198" i="24"/>
  <c r="C199" i="24"/>
  <c r="C201" i="24"/>
  <c r="C203" i="24"/>
  <c r="C206" i="24"/>
  <c r="C207" i="24"/>
  <c r="C210" i="24"/>
  <c r="C211" i="24"/>
  <c r="C213" i="24"/>
  <c r="C214" i="24"/>
  <c r="C215" i="24"/>
  <c r="C217" i="24"/>
  <c r="C219" i="24"/>
  <c r="C221" i="24"/>
  <c r="C222" i="24"/>
  <c r="C223" i="24"/>
  <c r="C225" i="24"/>
  <c r="C226" i="24"/>
  <c r="C229" i="24"/>
  <c r="C230" i="24"/>
  <c r="C234" i="24"/>
  <c r="C235" i="24"/>
  <c r="C236" i="24"/>
  <c r="C237" i="24"/>
  <c r="C239" i="24"/>
  <c r="C240" i="24"/>
  <c r="C241" i="24"/>
  <c r="C242" i="24"/>
  <c r="C247" i="24"/>
  <c r="C248" i="24"/>
  <c r="C250" i="24"/>
  <c r="C251" i="24"/>
  <c r="C252" i="24"/>
  <c r="C253" i="24"/>
  <c r="C255" i="24"/>
  <c r="C257" i="24"/>
  <c r="C258" i="24"/>
  <c r="C260" i="24"/>
  <c r="C261" i="24"/>
  <c r="C263" i="24"/>
  <c r="C266" i="24"/>
  <c r="C269" i="24"/>
  <c r="C270" i="24"/>
  <c r="C271" i="24"/>
  <c r="C274" i="24"/>
  <c r="C275" i="24"/>
  <c r="C277" i="24"/>
  <c r="C278" i="24"/>
  <c r="C280" i="24"/>
  <c r="C283" i="24"/>
  <c r="C285" i="24"/>
  <c r="C289" i="24"/>
  <c r="C290" i="24"/>
  <c r="C292" i="24"/>
  <c r="C293" i="24"/>
  <c r="C295" i="24"/>
  <c r="C298" i="24"/>
  <c r="C300" i="24"/>
  <c r="C301" i="24"/>
  <c r="C303" i="24"/>
  <c r="C304" i="24"/>
  <c r="C305" i="24"/>
  <c r="C306" i="24"/>
  <c r="C308" i="24"/>
  <c r="C310" i="24"/>
  <c r="C311" i="24"/>
  <c r="C313" i="24"/>
  <c r="C315" i="24"/>
  <c r="C317" i="24"/>
  <c r="C318" i="24"/>
  <c r="C319" i="24"/>
  <c r="C322" i="24"/>
  <c r="C323" i="24"/>
  <c r="C325" i="24"/>
  <c r="C326" i="24"/>
  <c r="C329" i="24"/>
  <c r="C330" i="24"/>
  <c r="C331" i="24"/>
  <c r="C332" i="24"/>
  <c r="C333" i="24"/>
  <c r="C335" i="24"/>
  <c r="C336" i="24"/>
  <c r="C337" i="24"/>
  <c r="C342" i="24"/>
  <c r="C345" i="24"/>
  <c r="C348" i="24"/>
  <c r="C349" i="24"/>
  <c r="C350" i="24"/>
  <c r="C352" i="24"/>
  <c r="C355" i="24"/>
  <c r="C356" i="24"/>
  <c r="C358" i="24"/>
  <c r="C359" i="24"/>
  <c r="C361" i="24"/>
  <c r="C362" i="24"/>
  <c r="C364" i="24"/>
  <c r="C366" i="24"/>
  <c r="C367" i="24"/>
  <c r="C373" i="24"/>
  <c r="C374" i="24"/>
  <c r="C376" i="24"/>
  <c r="C380" i="24"/>
  <c r="C381" i="24"/>
  <c r="C382" i="24"/>
  <c r="C383" i="24"/>
  <c r="C386" i="24"/>
  <c r="C387" i="24"/>
  <c r="C388" i="24"/>
  <c r="C389" i="24"/>
  <c r="C391" i="24"/>
  <c r="C392" i="24"/>
  <c r="C394" i="24"/>
  <c r="C395" i="24"/>
  <c r="C399" i="24"/>
  <c r="C400" i="24"/>
  <c r="C401" i="24"/>
  <c r="C404" i="24"/>
  <c r="C409" i="24"/>
  <c r="C412" i="24"/>
  <c r="C413" i="24"/>
  <c r="C414" i="24"/>
  <c r="C416" i="24"/>
  <c r="C418" i="24"/>
  <c r="C419" i="24"/>
  <c r="C420" i="24"/>
  <c r="C421" i="24"/>
  <c r="C422" i="24"/>
  <c r="C423" i="24"/>
  <c r="C424" i="24"/>
  <c r="C425" i="24"/>
  <c r="C426" i="24"/>
  <c r="C427" i="24"/>
  <c r="C429" i="24"/>
  <c r="C433" i="24"/>
  <c r="C436" i="24"/>
  <c r="C437" i="24"/>
  <c r="C438" i="24"/>
  <c r="C440" i="24"/>
  <c r="C441" i="24"/>
  <c r="C447" i="24"/>
  <c r="C449" i="24"/>
  <c r="C451" i="24"/>
  <c r="C452" i="24"/>
  <c r="C455" i="24"/>
  <c r="C457" i="24"/>
  <c r="C460" i="24"/>
  <c r="C461" i="24"/>
  <c r="C462" i="24"/>
  <c r="C463" i="24"/>
  <c r="C464" i="24"/>
  <c r="C465" i="24"/>
  <c r="C468" i="24"/>
  <c r="C470" i="24"/>
  <c r="C471" i="24"/>
  <c r="C472" i="24"/>
  <c r="C475" i="24"/>
  <c r="C476" i="24"/>
  <c r="C482" i="24"/>
  <c r="C483" i="24"/>
  <c r="C484" i="24"/>
  <c r="C487" i="24"/>
  <c r="C488" i="24"/>
  <c r="C489" i="24"/>
  <c r="C492" i="24"/>
  <c r="C493" i="24"/>
  <c r="C496" i="24"/>
  <c r="C497" i="24"/>
  <c r="C502" i="24"/>
  <c r="C503" i="24"/>
  <c r="C507" i="24"/>
  <c r="C508" i="24"/>
  <c r="C510" i="24"/>
  <c r="C511" i="24"/>
  <c r="C512" i="24"/>
  <c r="C513" i="24"/>
  <c r="C516" i="24"/>
  <c r="C517" i="24"/>
  <c r="C518" i="24"/>
  <c r="C519" i="24"/>
  <c r="C521" i="24"/>
  <c r="C523" i="24"/>
  <c r="C524" i="24"/>
  <c r="C525" i="24"/>
  <c r="C528" i="24"/>
  <c r="C530" i="24"/>
  <c r="C532" i="24"/>
  <c r="C533" i="24"/>
  <c r="C534" i="24"/>
  <c r="C535" i="24"/>
  <c r="C538" i="24"/>
  <c r="C539" i="24"/>
  <c r="C540" i="24"/>
  <c r="C541" i="24"/>
  <c r="C542" i="24"/>
  <c r="C543" i="24"/>
  <c r="C544" i="24"/>
  <c r="C550" i="24"/>
  <c r="C551" i="24"/>
  <c r="C552" i="24"/>
  <c r="C553" i="24"/>
  <c r="C554" i="24"/>
  <c r="C555" i="24"/>
  <c r="C556" i="24"/>
  <c r="C558" i="24"/>
  <c r="C562" i="24"/>
  <c r="C564" i="24"/>
  <c r="C566" i="24"/>
  <c r="C569" i="24"/>
  <c r="C572" i="24"/>
  <c r="C573" i="24"/>
  <c r="C574" i="24"/>
  <c r="C577" i="24"/>
  <c r="C578" i="24"/>
  <c r="C580" i="24"/>
  <c r="C583" i="24"/>
  <c r="C587" i="24"/>
  <c r="C590" i="24"/>
  <c r="C593" i="24"/>
  <c r="C596" i="24"/>
  <c r="C598" i="24"/>
  <c r="C602" i="24"/>
  <c r="C604" i="24"/>
  <c r="C607" i="24"/>
  <c r="C608" i="24"/>
  <c r="C609" i="24"/>
  <c r="C610" i="24"/>
  <c r="C612" i="24"/>
  <c r="C613" i="24"/>
  <c r="C620" i="24"/>
  <c r="C621" i="24"/>
  <c r="C623" i="24"/>
  <c r="C626" i="24"/>
  <c r="C627" i="24"/>
  <c r="C628" i="24"/>
  <c r="C629" i="24"/>
  <c r="C630" i="24"/>
  <c r="C632" i="24"/>
  <c r="C633" i="24"/>
  <c r="C636" i="24"/>
  <c r="C637" i="24"/>
  <c r="C639" i="24"/>
  <c r="C640" i="24"/>
  <c r="C641" i="24"/>
  <c r="C644" i="24"/>
  <c r="C647" i="24"/>
  <c r="C648" i="24"/>
  <c r="C650" i="24"/>
  <c r="C652" i="24"/>
  <c r="C653" i="24"/>
  <c r="C658" i="24"/>
  <c r="C659" i="24"/>
  <c r="C663" i="24"/>
  <c r="C668" i="24"/>
  <c r="C670" i="24"/>
  <c r="C671" i="24"/>
  <c r="C672" i="24"/>
  <c r="C674" i="24"/>
  <c r="C675" i="24"/>
  <c r="C676" i="24"/>
  <c r="C680" i="24"/>
  <c r="C681" i="24"/>
  <c r="C682" i="24"/>
  <c r="C684" i="24"/>
  <c r="C687" i="24"/>
  <c r="C688" i="24"/>
  <c r="C689" i="24"/>
  <c r="C690" i="24"/>
  <c r="C691" i="24"/>
  <c r="C692" i="24"/>
  <c r="C693" i="24"/>
  <c r="C699" i="24"/>
  <c r="C700" i="24"/>
  <c r="C701" i="24"/>
  <c r="C703" i="24"/>
  <c r="C705" i="24"/>
  <c r="C707" i="24"/>
  <c r="C710" i="24"/>
  <c r="C712" i="24"/>
  <c r="C713" i="24"/>
  <c r="C714" i="24"/>
  <c r="C719" i="24"/>
  <c r="C723" i="24"/>
  <c r="C725" i="24"/>
  <c r="C726" i="24"/>
  <c r="C729" i="24"/>
  <c r="C731" i="24"/>
  <c r="C738" i="24"/>
  <c r="C742" i="24"/>
  <c r="C747" i="24"/>
  <c r="C749" i="24"/>
  <c r="C751" i="24"/>
  <c r="C752" i="24"/>
  <c r="C753" i="24"/>
  <c r="C754" i="24"/>
  <c r="C755" i="24"/>
  <c r="C757" i="24"/>
  <c r="C759" i="24"/>
  <c r="C761" i="24"/>
  <c r="C764" i="24"/>
  <c r="C765" i="24"/>
  <c r="C769" i="24"/>
  <c r="C770" i="24"/>
  <c r="C771" i="24"/>
  <c r="C774" i="24"/>
  <c r="C775" i="24"/>
  <c r="C776" i="24"/>
  <c r="C777" i="24"/>
  <c r="C778" i="24"/>
  <c r="C782" i="24"/>
  <c r="C783" i="24"/>
  <c r="C784" i="24"/>
  <c r="C786" i="24"/>
  <c r="C787" i="24"/>
  <c r="C788" i="24"/>
  <c r="C790" i="24"/>
  <c r="C791" i="24"/>
  <c r="C794" i="24"/>
  <c r="C795" i="24"/>
  <c r="C798" i="24"/>
  <c r="C799" i="24"/>
  <c r="C806" i="24"/>
  <c r="C807" i="24"/>
  <c r="C808" i="24"/>
  <c r="C809" i="24"/>
  <c r="C812" i="24"/>
  <c r="C817" i="24"/>
  <c r="C820" i="24"/>
  <c r="C821" i="24"/>
  <c r="C824" i="24"/>
  <c r="C826" i="24"/>
  <c r="C827" i="24"/>
  <c r="C828" i="24"/>
  <c r="C829" i="24"/>
  <c r="C835" i="24"/>
  <c r="C836" i="24"/>
  <c r="C837" i="24"/>
  <c r="C842" i="24"/>
  <c r="C845" i="24"/>
  <c r="C846" i="24"/>
  <c r="C847" i="24"/>
  <c r="C848" i="24"/>
  <c r="C851" i="24"/>
  <c r="C854" i="24"/>
  <c r="C855" i="24"/>
  <c r="C856" i="24"/>
  <c r="C857" i="24"/>
  <c r="C862" i="24"/>
  <c r="C863" i="24"/>
  <c r="C866" i="24"/>
  <c r="C867" i="24"/>
  <c r="C869" i="24"/>
  <c r="C871" i="24"/>
  <c r="C872" i="24"/>
  <c r="C873" i="24"/>
  <c r="C874" i="24"/>
  <c r="C875" i="24"/>
  <c r="C877" i="24"/>
  <c r="C878" i="24"/>
  <c r="C879" i="24"/>
  <c r="C880" i="24"/>
  <c r="C882" i="24"/>
  <c r="C884" i="24"/>
  <c r="C885" i="24"/>
  <c r="C886" i="24"/>
  <c r="C887" i="24"/>
  <c r="C889" i="24"/>
  <c r="C891" i="24"/>
  <c r="C893" i="24"/>
  <c r="C894" i="24"/>
  <c r="C896" i="24"/>
  <c r="C897" i="24"/>
  <c r="C898" i="24"/>
  <c r="C899" i="24"/>
  <c r="C900" i="24"/>
  <c r="C901" i="24"/>
  <c r="C902" i="24"/>
  <c r="C905" i="24"/>
  <c r="C906" i="24"/>
  <c r="C909" i="24"/>
  <c r="C910" i="24"/>
  <c r="C912" i="24"/>
  <c r="C913" i="24"/>
  <c r="C914" i="24"/>
  <c r="C915" i="24"/>
  <c r="C918" i="24"/>
  <c r="C919" i="24"/>
  <c r="C920" i="24"/>
  <c r="C925" i="24"/>
  <c r="C927" i="24"/>
  <c r="C928" i="24"/>
  <c r="C929" i="24"/>
  <c r="C930" i="24"/>
  <c r="C931" i="24"/>
  <c r="C932" i="24"/>
  <c r="C933" i="24"/>
  <c r="C934" i="24"/>
  <c r="C935" i="24"/>
  <c r="C936" i="24"/>
  <c r="C937" i="24"/>
  <c r="C939" i="24"/>
  <c r="C940" i="24"/>
  <c r="C941" i="24"/>
  <c r="C944" i="24"/>
  <c r="C945" i="24"/>
  <c r="C946" i="24"/>
  <c r="C947" i="24"/>
  <c r="C948" i="24"/>
  <c r="C951" i="24"/>
  <c r="C952" i="24"/>
  <c r="C953" i="24"/>
  <c r="C954" i="24"/>
  <c r="C955" i="24"/>
  <c r="C956" i="24"/>
  <c r="C957" i="24"/>
  <c r="C958" i="24"/>
  <c r="C959" i="24"/>
  <c r="C960" i="24"/>
  <c r="C961" i="24"/>
  <c r="C962" i="24"/>
  <c r="C963" i="24"/>
  <c r="C964" i="24"/>
  <c r="C965" i="24"/>
  <c r="C966" i="24"/>
  <c r="C968" i="24"/>
  <c r="C970" i="24"/>
  <c r="C971" i="24"/>
  <c r="C972" i="24"/>
  <c r="C973" i="24"/>
  <c r="C974" i="24"/>
  <c r="C975" i="24"/>
  <c r="C976" i="24"/>
  <c r="C981" i="24"/>
  <c r="C982" i="24"/>
  <c r="C983" i="24"/>
  <c r="C987" i="24"/>
  <c r="C988" i="24"/>
  <c r="C989" i="24"/>
  <c r="C992" i="24"/>
  <c r="C994" i="24"/>
  <c r="C995" i="24"/>
  <c r="C996" i="24"/>
  <c r="G4" i="24" a="1"/>
  <c r="G230" i="24"/>
  <c r="G339" i="24"/>
  <c r="G55" i="24"/>
  <c r="G26" i="24"/>
  <c r="G186" i="24"/>
  <c r="G157" i="24"/>
  <c r="G260" i="24"/>
  <c r="G361" i="24"/>
  <c r="G467" i="24"/>
  <c r="G479" i="24"/>
  <c r="G334" i="24"/>
  <c r="G45" i="24"/>
  <c r="G310" i="24"/>
  <c r="G165" i="24"/>
  <c r="G371" i="24"/>
  <c r="G226" i="24"/>
  <c r="G189" i="24"/>
  <c r="G149" i="24"/>
  <c r="G130" i="24"/>
  <c r="G222" i="24"/>
  <c r="G140" i="24"/>
  <c r="G379" i="24"/>
  <c r="G458" i="24"/>
  <c r="G187" i="24"/>
  <c r="G290" i="24"/>
  <c r="G49" i="24"/>
  <c r="G233" i="24"/>
  <c r="G68" i="24"/>
  <c r="G252" i="24"/>
  <c r="G466" i="24"/>
  <c r="G353" i="24"/>
  <c r="G208" i="24"/>
  <c r="G171" i="24"/>
  <c r="G131" i="24"/>
  <c r="G4" i="24"/>
  <c r="G96" i="24"/>
  <c r="G434" i="24"/>
  <c r="G276" i="24"/>
  <c r="G431" i="24"/>
  <c r="G160" i="24"/>
  <c r="G236" i="24"/>
  <c r="G480" i="24"/>
  <c r="G206" i="24"/>
  <c r="G14" i="24"/>
  <c r="G228" i="24"/>
  <c r="G439" i="24"/>
  <c r="G245" i="24"/>
  <c r="G190" i="24"/>
  <c r="G117" i="24"/>
  <c r="G113" i="24"/>
  <c r="G453" i="24"/>
  <c r="G217" i="24"/>
  <c r="G338" i="24"/>
  <c r="G139" i="24"/>
  <c r="G404" i="24"/>
  <c r="G456" i="24"/>
  <c r="G212" i="24"/>
  <c r="G450" i="24"/>
  <c r="G179" i="24"/>
  <c r="G499" i="24"/>
  <c r="G144" i="24"/>
  <c r="G412" i="24"/>
  <c r="G155" i="24"/>
  <c r="G172" i="24"/>
  <c r="G99" i="24"/>
  <c r="G59" i="24"/>
  <c r="G435" i="24"/>
  <c r="G411" i="24"/>
  <c r="G150" i="24"/>
  <c r="G384" i="24"/>
  <c r="G378" i="24"/>
  <c r="G242" i="24"/>
  <c r="G133" i="24"/>
  <c r="G452" i="24"/>
  <c r="G343" i="24"/>
  <c r="G234" i="24"/>
  <c r="G125" i="24"/>
  <c r="G38" i="24"/>
  <c r="G37" i="24"/>
  <c r="G413" i="24"/>
  <c r="G304" i="24"/>
  <c r="G227" i="24"/>
  <c r="G316" i="24"/>
  <c r="G405" i="24"/>
  <c r="G473" i="24"/>
  <c r="G23" i="24"/>
  <c r="G112" i="24"/>
  <c r="G147" i="24"/>
  <c r="G501" i="24"/>
  <c r="G355" i="24"/>
  <c r="G194" i="24"/>
  <c r="G354" i="24"/>
  <c r="G215" i="24"/>
  <c r="G52" i="24"/>
  <c r="G428" i="24"/>
  <c r="G319" i="24"/>
  <c r="G210" i="24"/>
  <c r="G98" i="24"/>
  <c r="G414" i="24"/>
  <c r="G13" i="24"/>
  <c r="G386" i="24"/>
  <c r="G223" i="24"/>
  <c r="G209" i="24"/>
  <c r="G298" i="24"/>
  <c r="G387" i="24"/>
  <c r="G455" i="24"/>
  <c r="G5" i="24"/>
  <c r="G94" i="24"/>
  <c r="G129" i="24"/>
  <c r="G410" i="24"/>
  <c r="G438" i="24"/>
  <c r="G42" i="24"/>
  <c r="G324" i="24"/>
  <c r="G188" i="24"/>
  <c r="G25" i="24"/>
  <c r="G398" i="24"/>
  <c r="G289" i="24"/>
  <c r="G180" i="24"/>
  <c r="G71" i="24"/>
  <c r="G176" i="24"/>
  <c r="G498" i="24"/>
  <c r="G359" i="24"/>
  <c r="G115" i="24"/>
  <c r="G191" i="24"/>
  <c r="G280" i="24"/>
  <c r="G369" i="24"/>
  <c r="G401" i="24"/>
  <c r="G490" i="24"/>
  <c r="G76" i="24"/>
  <c r="G111" i="24"/>
  <c r="G474" i="24"/>
  <c r="G300" i="24"/>
  <c r="G161" i="24"/>
  <c r="G483" i="24"/>
  <c r="G374" i="24"/>
  <c r="G235" i="24"/>
  <c r="G156" i="24"/>
  <c r="G44" i="24"/>
  <c r="G122" i="24"/>
  <c r="G468" i="24"/>
  <c r="G278" i="24"/>
  <c r="G88" i="24"/>
  <c r="G173" i="24"/>
  <c r="G262" i="24"/>
  <c r="G351" i="24"/>
  <c r="G383" i="24"/>
  <c r="G472" i="24"/>
  <c r="G22" i="24"/>
  <c r="G57" i="24"/>
  <c r="G395" i="24"/>
  <c r="G313" i="24"/>
  <c r="G469" i="24"/>
  <c r="G390" i="24"/>
  <c r="G332" i="24"/>
  <c r="G277" i="24"/>
  <c r="G335" i="24"/>
  <c r="G406" i="24"/>
  <c r="G28" i="24"/>
  <c r="G153" i="24"/>
  <c r="G275" i="24"/>
  <c r="G400" i="24"/>
  <c r="G489" i="24"/>
  <c r="G93" i="24"/>
  <c r="G254" i="24"/>
  <c r="G308" i="24"/>
  <c r="G141" i="24"/>
  <c r="G285" i="24"/>
  <c r="G408" i="24"/>
  <c r="G323" i="24"/>
  <c r="G214" i="24"/>
  <c r="G132" i="24"/>
  <c r="G481" i="24"/>
  <c r="G426" i="24"/>
  <c r="G368" i="24"/>
  <c r="G286" i="24"/>
  <c r="G445" i="24"/>
  <c r="G360" i="24"/>
  <c r="G305" i="24"/>
  <c r="G250" i="24"/>
  <c r="G263" i="24"/>
  <c r="G388" i="24"/>
  <c r="G10" i="24"/>
  <c r="G135" i="24"/>
  <c r="G257" i="24"/>
  <c r="G382" i="24"/>
  <c r="G471" i="24"/>
  <c r="G75" i="24"/>
  <c r="G168" i="24"/>
  <c r="G312" i="24"/>
  <c r="G357" i="24"/>
  <c r="G60" i="24"/>
  <c r="G177" i="24"/>
  <c r="G162" i="24"/>
  <c r="G134" i="24"/>
  <c r="G106" i="24"/>
  <c r="G78" i="24"/>
  <c r="G50" i="24"/>
  <c r="G19" i="24"/>
  <c r="G18" i="24"/>
  <c r="G17" i="24"/>
  <c r="G16" i="24"/>
  <c r="G229" i="24"/>
  <c r="G198" i="24"/>
  <c r="G197" i="24"/>
  <c r="G196" i="24"/>
  <c r="G317" i="24"/>
  <c r="G460" i="24"/>
  <c r="G118" i="24"/>
  <c r="G279" i="24"/>
  <c r="G437" i="24"/>
  <c r="G95" i="24"/>
  <c r="G256" i="24"/>
  <c r="G399" i="24"/>
  <c r="G39" i="24"/>
  <c r="G271" i="24"/>
  <c r="G87" i="24"/>
  <c r="G163" i="24"/>
  <c r="G488" i="24"/>
  <c r="G32" i="24"/>
  <c r="G138" i="24"/>
  <c r="G107" i="24"/>
  <c r="G79" i="24"/>
  <c r="G51" i="24"/>
  <c r="G20" i="24"/>
  <c r="G504" i="24"/>
  <c r="G503" i="24"/>
  <c r="G502" i="24"/>
  <c r="G146" i="24"/>
  <c r="G199" i="24"/>
  <c r="G174" i="24"/>
  <c r="G170" i="24"/>
  <c r="G169" i="24"/>
  <c r="G281" i="24"/>
  <c r="G442" i="24"/>
  <c r="G100" i="24"/>
  <c r="G261" i="24"/>
  <c r="G419" i="24"/>
  <c r="G77" i="24"/>
  <c r="G238" i="24"/>
  <c r="G381" i="24"/>
  <c r="G21" i="24"/>
  <c r="G58" i="24"/>
  <c r="G237" i="24"/>
  <c r="G258" i="24"/>
  <c r="G218" i="24"/>
  <c r="G463" i="24"/>
  <c r="G302" i="24"/>
  <c r="G470" i="24"/>
  <c r="G270" i="24"/>
  <c r="G269" i="24"/>
  <c r="G268" i="24"/>
  <c r="G267" i="24"/>
  <c r="G266" i="24"/>
  <c r="G265" i="24"/>
  <c r="G288" i="24"/>
  <c r="G314" i="24"/>
  <c r="G340" i="24"/>
  <c r="G92" i="24"/>
  <c r="G91" i="24"/>
  <c r="G90" i="24"/>
  <c r="G116" i="24"/>
  <c r="G142" i="24"/>
  <c r="G299" i="24"/>
  <c r="G478" i="24"/>
  <c r="G154" i="24"/>
  <c r="G333" i="24"/>
  <c r="G9" i="24"/>
  <c r="G185" i="24"/>
  <c r="G364" i="24"/>
  <c r="G40" i="24"/>
  <c r="G219" i="24"/>
  <c r="G183" i="24"/>
  <c r="G328" i="24"/>
  <c r="G63" i="24"/>
  <c r="G352" i="24"/>
  <c r="G497" i="24"/>
  <c r="G494" i="24"/>
  <c r="G391" i="24"/>
  <c r="G287" i="24"/>
  <c r="G181" i="24"/>
  <c r="G213" i="24"/>
  <c r="G53" i="24"/>
  <c r="G85" i="24"/>
  <c r="G356" i="24"/>
  <c r="G326" i="24"/>
  <c r="G201" i="24"/>
  <c r="G346" i="24"/>
  <c r="G81" i="24"/>
  <c r="G370" i="24"/>
  <c r="G12" i="24"/>
  <c r="G8" i="24"/>
  <c r="G415" i="24"/>
  <c r="G341" i="24"/>
  <c r="G211" i="24"/>
  <c r="G240" i="24"/>
  <c r="G80" i="24"/>
  <c r="G109" i="24"/>
  <c r="G447" i="24"/>
  <c r="G420" i="24"/>
  <c r="G255" i="24"/>
  <c r="G418" i="24"/>
  <c r="G207" i="24"/>
  <c r="G424" i="24"/>
  <c r="G6" i="24"/>
  <c r="G36" i="24"/>
  <c r="G43" i="24"/>
  <c r="G422" i="24"/>
  <c r="G373" i="24"/>
  <c r="G294" i="24"/>
  <c r="G296" i="24"/>
  <c r="G33" i="24"/>
  <c r="G164" i="24"/>
  <c r="G114" i="24"/>
  <c r="G148" i="24"/>
  <c r="G293" i="24"/>
  <c r="G477" i="24"/>
  <c r="G119" i="24"/>
  <c r="G35" i="24"/>
  <c r="G121" i="24"/>
  <c r="G259" i="24"/>
  <c r="G318" i="24"/>
  <c r="G182" i="24"/>
  <c r="G322" i="24"/>
  <c r="G192" i="24"/>
  <c r="G392" i="24"/>
  <c r="G303" i="24"/>
  <c r="G166" i="24"/>
  <c r="G311" i="24"/>
  <c r="G495" i="24"/>
  <c r="G137" i="24"/>
  <c r="G62" i="24"/>
  <c r="G145" i="24"/>
  <c r="G367" i="24"/>
  <c r="G342" i="24"/>
  <c r="G320" i="24"/>
  <c r="G349" i="24"/>
  <c r="G216" i="24"/>
  <c r="G200" i="24"/>
  <c r="G409" i="24"/>
  <c r="G184" i="24"/>
  <c r="G329" i="24"/>
  <c r="G46" i="24"/>
  <c r="G389" i="24"/>
  <c r="G89" i="24"/>
  <c r="G175" i="24"/>
  <c r="G394" i="24"/>
  <c r="G372" i="24"/>
  <c r="G344" i="24"/>
  <c r="G376" i="24"/>
  <c r="G246" i="24"/>
  <c r="G393" i="24"/>
  <c r="G500" i="24"/>
  <c r="G202" i="24"/>
  <c r="G347" i="24"/>
  <c r="G64" i="24"/>
  <c r="G407" i="24"/>
  <c r="G143" i="24"/>
  <c r="G253" i="24"/>
  <c r="G421" i="24"/>
  <c r="G396" i="24"/>
  <c r="G482" i="24"/>
  <c r="G403" i="24"/>
  <c r="G432" i="24"/>
  <c r="G492" i="24"/>
  <c r="G86" i="24"/>
  <c r="G220" i="24"/>
  <c r="G365" i="24"/>
  <c r="G82" i="24"/>
  <c r="G425" i="24"/>
  <c r="G224" i="24"/>
  <c r="G283" i="24"/>
  <c r="G448" i="24"/>
  <c r="G73" i="24"/>
  <c r="G24" i="24"/>
  <c r="G430" i="24"/>
  <c r="G462" i="24"/>
  <c r="G231" i="24"/>
  <c r="G325" i="24"/>
  <c r="G274" i="24"/>
  <c r="G491" i="24"/>
  <c r="G136" i="24"/>
  <c r="G443" i="24"/>
  <c r="G251" i="24"/>
  <c r="G307" i="24"/>
  <c r="G475" i="24"/>
  <c r="G103" i="24"/>
  <c r="G105" i="24"/>
  <c r="G457" i="24"/>
  <c r="G486" i="24"/>
  <c r="G433" i="24"/>
  <c r="G416" i="24"/>
  <c r="G292" i="24"/>
  <c r="G27" i="24"/>
  <c r="G244" i="24"/>
  <c r="G461" i="24"/>
  <c r="G440" i="24"/>
  <c r="G337" i="24"/>
  <c r="G152" i="24"/>
  <c r="G127" i="24"/>
  <c r="G159" i="24"/>
  <c r="G484" i="24"/>
  <c r="G31" i="24"/>
  <c r="G123" i="24"/>
  <c r="G110" i="24"/>
  <c r="G291" i="24"/>
  <c r="G441" i="24"/>
  <c r="G282" i="24"/>
  <c r="G264" i="24"/>
  <c r="G30" i="24"/>
  <c r="G330" i="24"/>
  <c r="G309" i="24"/>
  <c r="G459" i="24"/>
  <c r="G306" i="24"/>
  <c r="G397" i="24"/>
  <c r="G54" i="24"/>
  <c r="G247" i="24"/>
  <c r="G327" i="24"/>
  <c r="G496" i="24"/>
  <c r="G336" i="24"/>
  <c r="G427" i="24"/>
  <c r="G84" i="24"/>
  <c r="G248" i="24"/>
  <c r="G345" i="24"/>
  <c r="G11" i="24"/>
  <c r="G444" i="24"/>
  <c r="G451" i="24"/>
  <c r="G108" i="24"/>
  <c r="G249" i="24"/>
  <c r="G363" i="24"/>
  <c r="G29" i="24"/>
  <c r="G67" i="24"/>
  <c r="G74" i="24"/>
  <c r="G193" i="24"/>
  <c r="G446" i="24"/>
  <c r="G417" i="24"/>
  <c r="G47" i="24"/>
  <c r="G70" i="24"/>
  <c r="G104" i="24"/>
  <c r="G284" i="24"/>
  <c r="G465" i="24"/>
  <c r="G436" i="24"/>
  <c r="G65" i="24"/>
  <c r="G97" i="24"/>
  <c r="G128" i="24"/>
  <c r="G380" i="24"/>
  <c r="G454" i="24"/>
  <c r="G83" i="24"/>
  <c r="G124" i="24"/>
  <c r="G158" i="24"/>
  <c r="G487" i="24"/>
  <c r="G41" i="24"/>
  <c r="G101" i="24"/>
  <c r="G151" i="24"/>
  <c r="G321" i="24"/>
  <c r="G56" i="24"/>
  <c r="G167" i="24"/>
  <c r="G34" i="24"/>
  <c r="G178" i="24"/>
  <c r="G348" i="24"/>
  <c r="G195" i="24"/>
  <c r="G203" i="24"/>
  <c r="G61" i="24"/>
  <c r="G205" i="24"/>
  <c r="G375" i="24"/>
  <c r="G301" i="24"/>
  <c r="G221" i="24"/>
  <c r="G331" i="24"/>
  <c r="G232" i="24"/>
  <c r="G402" i="24"/>
  <c r="G362" i="24"/>
  <c r="G239" i="24"/>
  <c r="G358" i="24"/>
  <c r="G449" i="24"/>
  <c r="G429" i="24"/>
  <c r="G464" i="24"/>
  <c r="G225" i="24"/>
  <c r="G385" i="24"/>
  <c r="G476" i="24"/>
  <c r="G241" i="24"/>
  <c r="G15" i="24"/>
  <c r="G243" i="24"/>
  <c r="G493" i="24"/>
  <c r="G48" i="24"/>
  <c r="G295" i="24"/>
  <c r="G272" i="24"/>
  <c r="G297" i="24"/>
  <c r="G7" i="24"/>
  <c r="G72" i="24"/>
  <c r="G350" i="24"/>
  <c r="G366" i="24"/>
  <c r="G315" i="24"/>
  <c r="G66" i="24"/>
  <c r="G102" i="24"/>
  <c r="G377" i="24"/>
  <c r="G69" i="24"/>
  <c r="G273" i="24"/>
  <c r="G423" i="24"/>
  <c r="G120" i="24"/>
  <c r="G126" i="24"/>
  <c r="G485" i="24"/>
  <c r="G204" i="24"/>
  <c r="D4" i="24" a="1"/>
  <c r="D165" i="24"/>
  <c r="D583" i="24"/>
  <c r="D679" i="24"/>
  <c r="D793" i="24"/>
  <c r="D890" i="24"/>
  <c r="D384" i="24"/>
  <c r="D578" i="24"/>
  <c r="D788" i="24"/>
  <c r="D77" i="24"/>
  <c r="D938" i="24"/>
  <c r="D50" i="24"/>
  <c r="D155" i="24"/>
  <c r="D699" i="24"/>
  <c r="D706" i="24"/>
  <c r="D834" i="24"/>
  <c r="D406" i="24"/>
  <c r="D352" i="24"/>
  <c r="D404" i="24"/>
  <c r="D469" i="24"/>
  <c r="D687" i="24"/>
  <c r="D317" i="24"/>
  <c r="D920" i="24"/>
  <c r="D453" i="24"/>
  <c r="D492" i="24"/>
  <c r="D697" i="24"/>
  <c r="D869" i="24"/>
  <c r="D171" i="24"/>
  <c r="D520" i="24"/>
  <c r="D779" i="24"/>
  <c r="D677" i="24"/>
  <c r="D856" i="24"/>
  <c r="D655" i="24"/>
  <c r="D497" i="24"/>
  <c r="D969" i="24"/>
  <c r="D573" i="24"/>
  <c r="D137" i="24"/>
  <c r="D694" i="24"/>
  <c r="D296" i="24"/>
  <c r="D982" i="24"/>
  <c r="D147" i="24"/>
  <c r="D213" i="24"/>
  <c r="D746" i="24"/>
  <c r="D802" i="24"/>
  <c r="D950" i="24"/>
  <c r="D493" i="24"/>
  <c r="D181" i="24"/>
  <c r="D477" i="24"/>
  <c r="D886" i="24"/>
  <c r="D353" i="24"/>
  <c r="D417" i="24"/>
  <c r="D545" i="24"/>
  <c r="D425" i="24"/>
  <c r="D590" i="24"/>
  <c r="D756" i="24"/>
  <c r="D955" i="24"/>
  <c r="D474" i="24"/>
  <c r="D489" i="24"/>
  <c r="D12" i="24"/>
  <c r="D475" i="24"/>
  <c r="D866" i="24"/>
  <c r="D268" i="24"/>
  <c r="D143" i="24"/>
  <c r="D913" i="24"/>
  <c r="D159" i="24"/>
  <c r="D571" i="24"/>
  <c r="D824" i="24"/>
  <c r="D439" i="24"/>
  <c r="D641" i="24"/>
  <c r="D670" i="24"/>
  <c r="D71" i="24"/>
  <c r="D186" i="24"/>
  <c r="D753" i="24"/>
  <c r="D726" i="24"/>
  <c r="D858" i="24"/>
  <c r="D863" i="24"/>
  <c r="D4" i="24"/>
  <c r="D780" i="24"/>
  <c r="D770" i="24"/>
  <c r="D58" i="24"/>
  <c r="D86" i="24"/>
  <c r="D973" i="24"/>
  <c r="D419" i="24"/>
  <c r="D765" i="24"/>
  <c r="D644" i="24"/>
  <c r="D260" i="24"/>
  <c r="D796" i="24"/>
  <c r="D684" i="24"/>
  <c r="D794" i="24"/>
  <c r="D93" i="24"/>
  <c r="D646" i="24"/>
  <c r="D967" i="24"/>
  <c r="D686" i="24"/>
  <c r="D109" i="24"/>
  <c r="D814" i="24"/>
  <c r="D798" i="24"/>
  <c r="D759" i="24"/>
  <c r="D144" i="24"/>
  <c r="D287" i="24"/>
  <c r="D254" i="24"/>
  <c r="D627" i="24"/>
  <c r="D221" i="24"/>
  <c r="D368" i="24"/>
  <c r="D781" i="24"/>
  <c r="D620" i="24"/>
  <c r="D397" i="24"/>
  <c r="D72" i="24"/>
  <c r="D451" i="24"/>
  <c r="D390" i="24"/>
  <c r="D350" i="24"/>
  <c r="D465" i="24"/>
  <c r="D766" i="24"/>
  <c r="D488" i="24"/>
  <c r="D813" i="24"/>
  <c r="D511" i="24"/>
  <c r="D301" i="24"/>
  <c r="D839" i="24"/>
  <c r="D121" i="24"/>
  <c r="D918" i="24"/>
  <c r="D359" i="24"/>
  <c r="D546" i="24"/>
  <c r="D19" i="24"/>
  <c r="D242" i="24"/>
  <c r="D808" i="24"/>
  <c r="D103" i="24"/>
  <c r="D119" i="24"/>
  <c r="D461" i="24"/>
  <c r="D664" i="24"/>
  <c r="D737" i="24"/>
  <c r="D92" i="24"/>
  <c r="D212" i="24"/>
  <c r="D366" i="24"/>
  <c r="D328" i="24"/>
  <c r="D233" i="24"/>
  <c r="D608" i="24"/>
  <c r="D153" i="24"/>
  <c r="D473" i="24"/>
  <c r="D310" i="24"/>
  <c r="D52" i="24"/>
  <c r="D394" i="24"/>
  <c r="D53" i="24"/>
  <c r="D735" i="24"/>
  <c r="D129" i="24"/>
  <c r="D487" i="24"/>
  <c r="D651" i="24"/>
  <c r="D523" i="24"/>
  <c r="D288" i="24"/>
  <c r="D941" i="24"/>
  <c r="D332" i="24"/>
  <c r="D126" i="24"/>
  <c r="D640" i="24"/>
  <c r="D604" i="24"/>
  <c r="D364" i="24"/>
  <c r="D300" i="24"/>
  <c r="D930" i="24"/>
  <c r="D445" i="24"/>
  <c r="D160" i="24"/>
  <c r="D628" i="24"/>
  <c r="D175" i="24"/>
  <c r="D383" i="24"/>
  <c r="D362" i="24"/>
  <c r="D734" i="24"/>
  <c r="D15" i="24"/>
  <c r="D234" i="24"/>
  <c r="D623" i="24"/>
  <c r="D338" i="24"/>
  <c r="D558" i="24"/>
  <c r="D367" i="24"/>
  <c r="D822" i="24"/>
  <c r="D130" i="24"/>
  <c r="D952" i="24"/>
  <c r="D107" i="24"/>
  <c r="D183" i="24"/>
  <c r="D610" i="24"/>
  <c r="D721" i="24"/>
  <c r="D987" i="24"/>
  <c r="D911" i="24"/>
  <c r="D424" i="24"/>
  <c r="D653" i="24"/>
  <c r="D180" i="24"/>
  <c r="D594" i="24"/>
  <c r="D897" i="24"/>
  <c r="D828" i="24"/>
  <c r="D128" i="24"/>
  <c r="D281" i="24"/>
  <c r="D482" i="24"/>
  <c r="D691" i="24"/>
  <c r="D61" i="24"/>
  <c r="D135" i="24"/>
  <c r="D710" i="24"/>
  <c r="D444" i="24"/>
  <c r="D747" i="24"/>
  <c r="D601" i="24"/>
  <c r="D179" i="24"/>
  <c r="D64" i="24"/>
  <c r="D929" i="24"/>
  <c r="D478" i="24"/>
  <c r="D239" i="24"/>
  <c r="D649" i="24"/>
  <c r="D17" i="24"/>
  <c r="D225" i="24"/>
  <c r="D659" i="24"/>
  <c r="D829" i="24"/>
  <c r="D393" i="24"/>
  <c r="D991" i="24"/>
  <c r="D624" i="24"/>
  <c r="D105" i="24"/>
  <c r="D745" i="24"/>
  <c r="D441" i="24"/>
  <c r="D690" i="24"/>
  <c r="D483" i="24"/>
  <c r="D25" i="24"/>
  <c r="D341" i="24"/>
  <c r="D862" i="24"/>
  <c r="D854" i="24"/>
  <c r="D54" i="24"/>
  <c r="D421" i="24"/>
  <c r="D432" i="24"/>
  <c r="D431" i="24"/>
  <c r="D715" i="24"/>
  <c r="D555" i="24"/>
  <c r="D356" i="24"/>
  <c r="D972" i="24"/>
  <c r="D85" i="24"/>
  <c r="D775" i="24"/>
  <c r="D454" i="24"/>
  <c r="D428" i="24"/>
  <c r="D892" i="24"/>
  <c r="D507" i="24"/>
  <c r="D37" i="24"/>
  <c r="D522" i="24"/>
  <c r="D994" i="24"/>
  <c r="D289" i="24"/>
  <c r="D194" i="24"/>
  <c r="D980" i="24"/>
  <c r="D566" i="24"/>
  <c r="D47" i="24"/>
  <c r="D326" i="24"/>
  <c r="D203" i="24"/>
  <c r="D618" i="24"/>
  <c r="D956" i="24"/>
  <c r="D848" i="24"/>
  <c r="D156" i="24"/>
  <c r="D498" i="24"/>
  <c r="D459" i="24"/>
  <c r="D151" i="24"/>
  <c r="D257" i="24"/>
  <c r="D373" i="24"/>
  <c r="D964" i="24"/>
  <c r="D396" i="24"/>
  <c r="D900" i="24"/>
  <c r="D586" i="24"/>
  <c r="D652" i="24"/>
  <c r="D739" i="24"/>
  <c r="D754" i="24"/>
  <c r="D860" i="24"/>
  <c r="D460" i="24"/>
  <c r="D761" i="24"/>
  <c r="D505" i="24"/>
  <c r="D409" i="24"/>
  <c r="D547" i="24"/>
  <c r="D947" i="24"/>
  <c r="D725" i="24"/>
  <c r="D915" i="24"/>
  <c r="D28" i="24"/>
  <c r="D845" i="24"/>
  <c r="D139" i="24"/>
  <c r="D553" i="24"/>
  <c r="D998" i="24"/>
  <c r="D60" i="24"/>
  <c r="D660" i="24"/>
  <c r="D49" i="24"/>
  <c r="D284" i="24"/>
  <c r="D840" i="24"/>
  <c r="D391" i="24"/>
  <c r="D34" i="24"/>
  <c r="D190" i="24"/>
  <c r="D698" i="24"/>
  <c r="D993" i="24"/>
  <c r="D714" i="24"/>
  <c r="D199" i="24"/>
  <c r="D261" i="24"/>
  <c r="D879" i="24"/>
  <c r="D730" i="24"/>
  <c r="D831" i="24"/>
  <c r="D536" i="24"/>
  <c r="D340" i="24"/>
  <c r="D823" i="24"/>
  <c r="D146" i="24"/>
  <c r="D961" i="24"/>
  <c r="D422" i="24"/>
  <c r="D931" i="24"/>
  <c r="D470" i="24"/>
  <c r="D703" i="24"/>
  <c r="D587" i="24"/>
  <c r="D78" i="24"/>
  <c r="D412" i="24"/>
  <c r="D224" i="24"/>
  <c r="D642" i="24"/>
  <c r="D272" i="24"/>
  <c r="D783" i="24"/>
  <c r="D637" i="24"/>
  <c r="D744" i="24"/>
  <c r="D908" i="24"/>
  <c r="D443" i="24"/>
  <c r="D877" i="24"/>
  <c r="D371" i="24"/>
  <c r="D246" i="24"/>
  <c r="D817" i="24"/>
  <c r="D678" i="24"/>
  <c r="D615" i="24"/>
  <c r="D692" i="24"/>
  <c r="D311" i="24"/>
  <c r="D534" i="24"/>
  <c r="D755" i="24"/>
  <c r="D937" i="24"/>
  <c r="D803" i="24"/>
  <c r="D280" i="24"/>
  <c r="D218" i="24"/>
  <c r="D701" i="24"/>
  <c r="D584" i="24"/>
  <c r="D357" i="24"/>
  <c r="D316" i="24"/>
  <c r="D731" i="24"/>
  <c r="D830" i="24"/>
  <c r="D577" i="24"/>
  <c r="D319" i="24"/>
  <c r="D285" i="24"/>
  <c r="D517" i="24"/>
  <c r="D724" i="24"/>
  <c r="D702" i="24"/>
  <c r="D965" i="24"/>
  <c r="D381" i="24"/>
  <c r="D632" i="24"/>
  <c r="D605" i="24"/>
  <c r="D382" i="24"/>
  <c r="D433" i="24"/>
  <c r="D585" i="24"/>
  <c r="D344" i="24"/>
  <c r="D575" i="24"/>
  <c r="D148" i="24"/>
  <c r="D976" i="24"/>
  <c r="D374" i="24"/>
  <c r="D570" i="24"/>
  <c r="D277" i="24"/>
  <c r="D265" i="24"/>
  <c r="D294" i="24"/>
  <c r="D750" i="24"/>
  <c r="D297" i="24"/>
  <c r="D926" i="24"/>
  <c r="D815" i="24"/>
  <c r="D184" i="24"/>
  <c r="D13" i="24"/>
  <c r="D253" i="24"/>
  <c r="D885" i="24"/>
  <c r="D611" i="24"/>
  <c r="D476" i="24"/>
  <c r="D579" i="24"/>
  <c r="D149" i="24"/>
  <c r="D680" i="24"/>
  <c r="D238" i="24"/>
  <c r="D970" i="24"/>
  <c r="D323" i="24"/>
  <c r="D141" i="24"/>
  <c r="D342" i="24"/>
  <c r="D630" i="24"/>
  <c r="D751" i="24"/>
  <c r="D818" i="24"/>
  <c r="D832" i="24"/>
  <c r="D581" i="24"/>
  <c r="D906" i="24"/>
  <c r="D626" i="24"/>
  <c r="D695" i="24"/>
  <c r="D283" i="24"/>
  <c r="D884" i="24"/>
  <c r="D44" i="24"/>
  <c r="D411" i="24"/>
  <c r="D269" i="24"/>
  <c r="D158" i="24"/>
  <c r="D405" i="24"/>
  <c r="D861" i="24"/>
  <c r="D924" i="24"/>
  <c r="D718" i="24"/>
  <c r="D881" i="24"/>
  <c r="D327" i="24"/>
  <c r="D298" i="24"/>
  <c r="D436" i="24"/>
  <c r="D589" i="24"/>
  <c r="D868" i="24"/>
  <c r="D946" i="24"/>
  <c r="D306" i="24"/>
  <c r="D524" i="24"/>
  <c r="D496" i="24"/>
  <c r="D211" i="24"/>
  <c r="D667" i="24"/>
  <c r="D392" i="24"/>
  <c r="D778" i="24"/>
  <c r="D748" i="24"/>
  <c r="D18" i="24"/>
  <c r="D742" i="24"/>
  <c r="D645" i="24"/>
  <c r="D760" i="24"/>
  <c r="D134" i="24"/>
  <c r="D621" i="24"/>
  <c r="D403" i="24"/>
  <c r="D23" i="24"/>
  <c r="D508" i="24"/>
  <c r="D512" i="24"/>
  <c r="D55" i="24"/>
  <c r="D202" i="24"/>
  <c r="D38" i="24"/>
  <c r="D302" i="24"/>
  <c r="D903" i="24"/>
  <c r="D635" i="24"/>
  <c r="D528" i="24"/>
  <c r="D45" i="24"/>
  <c r="D354" i="24"/>
  <c r="D790" i="24"/>
  <c r="D576" i="24"/>
  <c r="D123" i="24"/>
  <c r="D79" i="24"/>
  <c r="D598" i="24"/>
  <c r="D540" i="24"/>
  <c r="D661" i="24"/>
  <c r="D595" i="24"/>
  <c r="D292" i="24"/>
  <c r="D267" i="24"/>
  <c r="D871" i="24"/>
  <c r="D997" i="24"/>
  <c r="D21" i="24"/>
  <c r="D883" i="24"/>
  <c r="D75" i="24"/>
  <c r="D934" i="24"/>
  <c r="D375" i="24"/>
  <c r="D891" i="24"/>
  <c r="D841" i="24"/>
  <c r="D733" i="24"/>
  <c r="D216" i="24"/>
  <c r="D464" i="24"/>
  <c r="D939" i="24"/>
  <c r="D131" i="24"/>
  <c r="D531" i="24"/>
  <c r="D16" i="24"/>
  <c r="D81" i="24"/>
  <c r="D210" i="24"/>
  <c r="D360" i="24"/>
  <c r="D426" i="24"/>
  <c r="D291" i="24"/>
  <c r="D944" i="24"/>
  <c r="D182" i="24"/>
  <c r="D592" i="24"/>
  <c r="D435" i="24"/>
  <c r="D116" i="24"/>
  <c r="D518" i="24"/>
  <c r="D700" i="24"/>
  <c r="D6" i="24"/>
  <c r="D102" i="24"/>
  <c r="D554" i="24"/>
  <c r="D945" i="24"/>
  <c r="D857" i="24"/>
  <c r="D466" i="24"/>
  <c r="D315" i="24"/>
  <c r="D953" i="24"/>
  <c r="D846" i="24"/>
  <c r="D9" i="24"/>
  <c r="D537" i="24"/>
  <c r="D108" i="24"/>
  <c r="D220" i="24"/>
  <c r="D66" i="24"/>
  <c r="D348" i="24"/>
  <c r="D369" i="24"/>
  <c r="D728" i="24"/>
  <c r="D20" i="24"/>
  <c r="D899" i="24"/>
  <c r="D805" i="24"/>
  <c r="D501" i="24"/>
  <c r="D83" i="24"/>
  <c r="D170" i="24"/>
  <c r="D457" i="24"/>
  <c r="D57" i="24"/>
  <c r="D707" i="24"/>
  <c r="D809" i="24"/>
  <c r="D313" i="24"/>
  <c r="D650" i="24"/>
  <c r="D633" i="24"/>
  <c r="D716" i="24"/>
  <c r="D669" i="24"/>
  <c r="D763" i="24"/>
  <c r="D8" i="24"/>
  <c r="D727" i="24"/>
  <c r="D811" i="24"/>
  <c r="D402" i="24"/>
  <c r="D309" i="24"/>
  <c r="D270" i="24"/>
  <c r="D418" i="24"/>
  <c r="D917" i="24"/>
  <c r="D136" i="24"/>
  <c r="D241" i="24"/>
  <c r="D266" i="24"/>
  <c r="D807" i="24"/>
  <c r="D995" i="24"/>
  <c r="D541" i="24"/>
  <c r="D711" i="24"/>
  <c r="D898" i="24"/>
  <c r="D521" i="24"/>
  <c r="D414" i="24"/>
  <c r="D178" i="24"/>
  <c r="D504" i="24"/>
  <c r="D959" i="24"/>
  <c r="D62" i="24"/>
  <c r="D395" i="24"/>
  <c r="D593" i="24"/>
  <c r="D447" i="24"/>
  <c r="D286" i="24"/>
  <c r="D320" i="24"/>
  <c r="D820" i="24"/>
  <c r="D639" i="24"/>
  <c r="D429" i="24"/>
  <c r="D120" i="24"/>
  <c r="D333" i="24"/>
  <c r="D977" i="24"/>
  <c r="D893" i="24"/>
  <c r="D27" i="24"/>
  <c r="D562" i="24"/>
  <c r="D163" i="24"/>
  <c r="D693" i="24"/>
  <c r="D96" i="24"/>
  <c r="D797" i="24"/>
  <c r="D335" i="24"/>
  <c r="D613" i="24"/>
  <c r="D361" i="24"/>
  <c r="D741" i="24"/>
  <c r="D992" i="24"/>
  <c r="D101" i="24"/>
  <c r="D256" i="24"/>
  <c r="D782" i="24"/>
  <c r="D463" i="24"/>
  <c r="D321" i="24"/>
  <c r="D24" i="24"/>
  <c r="D112" i="24"/>
  <c r="D248" i="24"/>
  <c r="D909" i="24"/>
  <c r="D499" i="24"/>
  <c r="D923" i="24"/>
  <c r="D1000" i="24"/>
  <c r="D963" i="24"/>
  <c r="D314" i="24"/>
  <c r="D295" i="24"/>
  <c r="D231" i="24"/>
  <c r="D10" i="24"/>
  <c r="D145" i="24"/>
  <c r="D674" i="24"/>
  <c r="D719" i="24"/>
  <c r="D837" i="24"/>
  <c r="D176" i="24"/>
  <c r="D343" i="24"/>
  <c r="D988" i="24"/>
  <c r="D387" i="24"/>
  <c r="D978" i="24"/>
  <c r="D825" i="24"/>
  <c r="D985" i="24"/>
  <c r="D345" i="24"/>
  <c r="D532" i="24"/>
  <c r="D503" i="24"/>
  <c r="D479" i="24"/>
  <c r="D752" i="24"/>
  <c r="D800" i="24"/>
  <c r="D462" i="24"/>
  <c r="D989" i="24"/>
  <c r="D400" i="24"/>
  <c r="D174" i="24"/>
  <c r="D767" i="24"/>
  <c r="D603" i="24"/>
  <c r="D614" i="24"/>
  <c r="D408" i="24"/>
  <c r="D927" i="24"/>
  <c r="D245" i="24"/>
  <c r="D768" i="24"/>
  <c r="D449" i="24"/>
  <c r="D749" i="24"/>
  <c r="D138" i="24"/>
  <c r="D440" i="24"/>
  <c r="D526" i="24"/>
  <c r="D984" i="24"/>
  <c r="D912" i="24"/>
  <c r="D455" i="24"/>
  <c r="D591" i="24"/>
  <c r="D986" i="24"/>
  <c r="D902" i="24"/>
  <c r="D94" i="24"/>
  <c r="D299" i="24"/>
  <c r="D372" i="24"/>
  <c r="D423" i="24"/>
  <c r="D682" i="24"/>
  <c r="D654" i="24"/>
  <c r="D833" i="24"/>
  <c r="D227" i="24"/>
  <c r="D689" i="24"/>
  <c r="D110" i="24"/>
  <c r="D827" i="24"/>
  <c r="D46" i="24"/>
  <c r="D564" i="24"/>
  <c r="D252" i="24"/>
  <c r="D407" i="24"/>
  <c r="D303" i="24"/>
  <c r="D99" i="24"/>
  <c r="D549" i="24"/>
  <c r="D118" i="24"/>
  <c r="D542" i="24"/>
  <c r="D836" i="24"/>
  <c r="D413" i="24"/>
  <c r="D894" i="24"/>
  <c r="D942" i="24"/>
  <c r="D244" i="24"/>
  <c r="D851" i="24"/>
  <c r="D772" i="24"/>
  <c r="D485" i="24"/>
  <c r="D307" i="24"/>
  <c r="D82" i="24"/>
  <c r="D35" i="24"/>
  <c r="D704" i="24"/>
  <c r="D39" i="24"/>
  <c r="D132" i="24"/>
  <c r="D133" i="24"/>
  <c r="D251" i="24"/>
  <c r="D666" i="24"/>
  <c r="D193" i="24"/>
  <c r="D771" i="24"/>
  <c r="D115" i="24"/>
  <c r="D873" i="24"/>
  <c r="D349" i="24"/>
  <c r="D271" i="24"/>
  <c r="D619" i="24"/>
  <c r="D957" i="24"/>
  <c r="D925" i="24"/>
  <c r="D960" i="24"/>
  <c r="D738" i="24"/>
  <c r="D777" i="24"/>
  <c r="D936" i="24"/>
  <c r="D625" i="24"/>
  <c r="D275" i="24"/>
  <c r="D616" i="24"/>
  <c r="D784" i="24"/>
  <c r="D685" i="24"/>
  <c r="D506" i="24"/>
  <c r="D842" i="24"/>
  <c r="D1001" i="24"/>
  <c r="D363" i="24"/>
  <c r="D552" i="24"/>
  <c r="D140" i="24"/>
  <c r="D872" i="24"/>
  <c r="D850" i="24"/>
  <c r="D557" i="24"/>
  <c r="D346" i="24"/>
  <c r="D274" i="24"/>
  <c r="D11" i="24"/>
  <c r="D821" i="24"/>
  <c r="D795" i="24"/>
  <c r="D513" i="24"/>
  <c r="D787" i="24"/>
  <c r="D376" i="24"/>
  <c r="D792" i="24"/>
  <c r="D7" i="24"/>
  <c r="D530" i="24"/>
  <c r="D472" i="24"/>
  <c r="D378" i="24"/>
  <c r="D127" i="24"/>
  <c r="D312" i="24"/>
  <c r="D278" i="24"/>
  <c r="D648" i="24"/>
  <c r="D486" i="24"/>
  <c r="D91" i="24"/>
  <c r="D895" i="24"/>
  <c r="D533" i="24"/>
  <c r="D471" i="24"/>
  <c r="D197" i="24"/>
  <c r="D919" i="24"/>
  <c r="D304" i="24"/>
  <c r="D243" i="24"/>
  <c r="D318" i="24"/>
  <c r="D84" i="24"/>
  <c r="D114" i="24"/>
  <c r="D331" i="24"/>
  <c r="D683" i="24"/>
  <c r="D514" i="24"/>
  <c r="D510" i="24"/>
  <c r="D835" i="24"/>
  <c r="D259" i="24"/>
  <c r="D870" i="24"/>
  <c r="D279" i="24"/>
  <c r="D865" i="24"/>
  <c r="D617" i="24"/>
  <c r="D237" i="24"/>
  <c r="D217" i="24"/>
  <c r="D928" i="24"/>
  <c r="D481" i="24"/>
  <c r="D276" i="24"/>
  <c r="D826" i="24"/>
  <c r="D76" i="24"/>
  <c r="D56" i="24"/>
  <c r="D106" i="24"/>
  <c r="D207" i="24"/>
  <c r="D855" i="24"/>
  <c r="D98" i="24"/>
  <c r="D774" i="24"/>
  <c r="D495" i="24"/>
  <c r="D990" i="24"/>
  <c r="D43" i="24"/>
  <c r="D551" i="24"/>
  <c r="D538" i="24"/>
  <c r="D975" i="24"/>
  <c r="D152" i="24"/>
  <c r="D247" i="24"/>
  <c r="D773" i="24"/>
  <c r="D764" i="24"/>
  <c r="D658" i="24"/>
  <c r="D561" i="24"/>
  <c r="D622" i="24"/>
  <c r="D104" i="24"/>
  <c r="D847" i="24"/>
  <c r="D740" i="24"/>
  <c r="D958" i="24"/>
  <c r="D789" i="24"/>
  <c r="D468" i="24"/>
  <c r="D529" i="24"/>
  <c r="D819" i="24"/>
  <c r="D502" i="24"/>
  <c r="D173" i="24"/>
  <c r="D70" i="24"/>
  <c r="D308" i="24"/>
  <c r="D647" i="24"/>
  <c r="D33" i="24"/>
  <c r="D240" i="24"/>
  <c r="D762" i="24"/>
  <c r="D222" i="24"/>
  <c r="D89" i="24"/>
  <c r="D168" i="24"/>
  <c r="D569" i="24"/>
  <c r="D90" i="24"/>
  <c r="D657" i="24"/>
  <c r="D943" i="24"/>
  <c r="D556" i="24"/>
  <c r="D223" i="24"/>
  <c r="D717" i="24"/>
  <c r="D572" i="24"/>
  <c r="D442" i="24"/>
  <c r="D113" i="24"/>
  <c r="D864" i="24"/>
  <c r="D438" i="24"/>
  <c r="D480" i="24"/>
  <c r="D791" i="24"/>
  <c r="D974" i="24"/>
  <c r="D636" i="24"/>
  <c r="D125" i="24"/>
  <c r="D887" i="24"/>
  <c r="D59" i="24"/>
  <c r="D729" i="24"/>
  <c r="D708" i="24"/>
  <c r="D688" i="24"/>
  <c r="D806" i="24"/>
  <c r="D201" i="24"/>
  <c r="D389" i="24"/>
  <c r="D588" i="24"/>
  <c r="D981" i="24"/>
  <c r="D776" i="24"/>
  <c r="D337" i="24"/>
  <c r="D606" i="24"/>
  <c r="D509" i="24"/>
  <c r="D124" i="24"/>
  <c r="D559" i="24"/>
  <c r="D852" i="24"/>
  <c r="D236" i="24"/>
  <c r="D427" i="24"/>
  <c r="D290" i="24"/>
  <c r="D889" i="24"/>
  <c r="D804" i="24"/>
  <c r="D293" i="24"/>
  <c r="D932" i="24"/>
  <c r="D230" i="24"/>
  <c r="D901" i="24"/>
  <c r="D30" i="24"/>
  <c r="D878" i="24"/>
  <c r="D263" i="24"/>
  <c r="D525" i="24"/>
  <c r="D198" i="24"/>
  <c r="D880" i="24"/>
  <c r="D330" i="24"/>
  <c r="D172" i="24"/>
  <c r="D88" i="24"/>
  <c r="D484" i="24"/>
  <c r="D672" i="24"/>
  <c r="D638" i="24"/>
  <c r="D370" i="24"/>
  <c r="D164" i="24"/>
  <c r="D264" i="24"/>
  <c r="D208" i="24"/>
  <c r="D67" i="24"/>
  <c r="D631" i="24"/>
  <c r="D612" i="24"/>
  <c r="D100" i="24"/>
  <c r="D63" i="24"/>
  <c r="D910" i="24"/>
  <c r="D188" i="24"/>
  <c r="D948" i="24"/>
  <c r="D235" i="24"/>
  <c r="D916" i="24"/>
  <c r="D736" i="24"/>
  <c r="D849" i="24"/>
  <c r="D966" i="24"/>
  <c r="D347" i="24"/>
  <c r="D951" i="24"/>
  <c r="D582" i="24"/>
  <c r="D882" i="24"/>
  <c r="D398" i="24"/>
  <c r="D565" i="24"/>
  <c r="D838" i="24"/>
  <c r="D150" i="24"/>
  <c r="D111" i="24"/>
  <c r="D527" i="24"/>
  <c r="D14" i="24"/>
  <c r="D758" i="24"/>
  <c r="D73" i="24"/>
  <c r="D262" i="24"/>
  <c r="D905" i="24"/>
  <c r="D888" i="24"/>
  <c r="D385" i="24"/>
  <c r="D117" i="24"/>
  <c r="D563" i="24"/>
  <c r="D458" i="24"/>
  <c r="D74" i="24"/>
  <c r="D166" i="24"/>
  <c r="D228" i="24"/>
  <c r="D810" i="24"/>
  <c r="D334" i="24"/>
  <c r="D448" i="24"/>
  <c r="D933" i="24"/>
  <c r="D853" i="24"/>
  <c r="D95" i="24"/>
  <c r="D196" i="24"/>
  <c r="D812" i="24"/>
  <c r="D31" i="24"/>
  <c r="D452" i="24"/>
  <c r="D712" i="24"/>
  <c r="D723" i="24"/>
  <c r="D258" i="24"/>
  <c r="D42" i="24"/>
  <c r="D491" i="24"/>
  <c r="D226" i="24"/>
  <c r="D757" i="24"/>
  <c r="D195" i="24"/>
  <c r="D339" i="24"/>
  <c r="D336" i="24"/>
  <c r="D490" i="24"/>
  <c r="D629" i="24"/>
  <c r="D249" i="24"/>
  <c r="D205" i="24"/>
  <c r="D255" i="24"/>
  <c r="D282" i="24"/>
  <c r="D68" i="24"/>
  <c r="D769" i="24"/>
  <c r="D215" i="24"/>
  <c r="D668" i="24"/>
  <c r="D41" i="24"/>
  <c r="D515" i="24"/>
  <c r="D599" i="24"/>
  <c r="D36" i="24"/>
  <c r="D209" i="24"/>
  <c r="D935" i="24"/>
  <c r="D843" i="24"/>
  <c r="D161" i="24"/>
  <c r="D922" i="24"/>
  <c r="D450" i="24"/>
  <c r="D722" i="24"/>
  <c r="D87" i="24"/>
  <c r="D665" i="24"/>
  <c r="D516" i="24"/>
  <c r="D996" i="24"/>
  <c r="D681" i="24"/>
  <c r="D351" i="24"/>
  <c r="D676" i="24"/>
  <c r="D568" i="24"/>
  <c r="D420" i="24"/>
  <c r="D142" i="24"/>
  <c r="D189" i="24"/>
  <c r="D539" i="24"/>
  <c r="D643" i="24"/>
  <c r="D720" i="24"/>
  <c r="D1002" i="24"/>
  <c r="D875" i="24"/>
  <c r="D434" i="24"/>
  <c r="D548" i="24"/>
  <c r="D324" i="24"/>
  <c r="D399" i="24"/>
  <c r="D40" i="24"/>
  <c r="D876" i="24"/>
  <c r="D29" i="24"/>
  <c r="D191" i="24"/>
  <c r="D799" i="24"/>
  <c r="D122" i="24"/>
  <c r="D675" i="24"/>
  <c r="D656" i="24"/>
  <c r="D1003" i="24"/>
  <c r="D535" i="24"/>
  <c r="D5" i="24"/>
  <c r="D801" i="24"/>
  <c r="D907" i="24"/>
  <c r="D962" i="24"/>
  <c r="D48" i="24"/>
  <c r="D954" i="24"/>
  <c r="D250" i="24"/>
  <c r="D844" i="24"/>
  <c r="D979" i="24"/>
  <c r="D663" i="24"/>
  <c r="D51" i="24"/>
  <c r="D305" i="24"/>
  <c r="D416" i="24"/>
  <c r="D26" i="24"/>
  <c r="D602" i="24"/>
  <c r="D456" i="24"/>
  <c r="D999" i="24"/>
  <c r="D596" i="24"/>
  <c r="D379" i="24"/>
  <c r="D430" i="24"/>
  <c r="D229" i="24"/>
  <c r="D415" i="24"/>
  <c r="D896" i="24"/>
  <c r="D154" i="24"/>
  <c r="D322" i="24"/>
  <c r="D388" i="24"/>
  <c r="D358" i="24"/>
  <c r="D206" i="24"/>
  <c r="D696" i="24"/>
  <c r="D634" i="24"/>
  <c r="D219" i="24"/>
  <c r="D437" i="24"/>
  <c r="D904" i="24"/>
  <c r="D607" i="24"/>
  <c r="D273" i="24"/>
  <c r="D69" i="24"/>
  <c r="D177" i="24"/>
  <c r="D671" i="24"/>
  <c r="D949" i="24"/>
  <c r="D325" i="24"/>
  <c r="D914" i="24"/>
  <c r="D80" i="24"/>
  <c r="D940" i="24"/>
  <c r="D580" i="24"/>
  <c r="D574" i="24"/>
  <c r="D467" i="24"/>
  <c r="D157" i="24"/>
  <c r="D204" i="24"/>
  <c r="D32" i="24"/>
  <c r="D65" i="24"/>
  <c r="D543" i="24"/>
  <c r="D494" i="24"/>
  <c r="D187" i="24"/>
  <c r="D743" i="24"/>
  <c r="D167" i="24"/>
  <c r="D162" i="24"/>
  <c r="D169" i="24"/>
  <c r="D713" i="24"/>
  <c r="D560" i="24"/>
  <c r="D732" i="24"/>
  <c r="D816" i="24"/>
  <c r="D867" i="24"/>
  <c r="D401" i="24"/>
  <c r="D859" i="24"/>
  <c r="D550" i="24"/>
  <c r="D192" i="24"/>
  <c r="D410" i="24"/>
  <c r="D874" i="24"/>
  <c r="D567" i="24"/>
  <c r="D329" i="24"/>
  <c r="D785" i="24"/>
  <c r="D365" i="24"/>
  <c r="D705" i="24"/>
  <c r="D597" i="24"/>
  <c r="D200" i="24"/>
  <c r="D709" i="24"/>
  <c r="D446" i="24"/>
  <c r="D673" i="24"/>
  <c r="D968" i="24"/>
  <c r="D609" i="24"/>
  <c r="D185" i="24"/>
  <c r="D983" i="24"/>
  <c r="D22" i="24"/>
  <c r="D544" i="24"/>
  <c r="D377" i="24"/>
  <c r="D232" i="24"/>
  <c r="D519" i="24"/>
  <c r="D380" i="24"/>
  <c r="D971" i="24"/>
  <c r="D97" i="24"/>
  <c r="D355" i="24"/>
  <c r="D214" i="24"/>
  <c r="D921" i="24"/>
  <c r="D600" i="24"/>
  <c r="D386" i="24"/>
  <c r="D786" i="24"/>
  <c r="D500" i="24"/>
  <c r="D662" i="2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<sst xmlns="http://schemas.openxmlformats.org/spreadsheetml/2006/main" count="285" uniqueCount="140">
  <si>
    <t>A</t>
    <phoneticPr fontId="1"/>
  </si>
  <si>
    <t>B</t>
    <phoneticPr fontId="1"/>
  </si>
  <si>
    <t>X</t>
    <phoneticPr fontId="1"/>
  </si>
  <si>
    <t>Rcond</t>
  </si>
  <si>
    <t>Rcond</t>
    <phoneticPr fontId="1"/>
  </si>
  <si>
    <t>Info</t>
  </si>
  <si>
    <t>Info</t>
    <phoneticPr fontId="1"/>
  </si>
  <si>
    <t>Example 3</t>
    <phoneticPr fontId="1"/>
  </si>
  <si>
    <t>λ</t>
    <phoneticPr fontId="1"/>
  </si>
  <si>
    <t>x</t>
    <phoneticPr fontId="1"/>
  </si>
  <si>
    <t>Info</t>
    <phoneticPr fontId="1"/>
  </si>
  <si>
    <t>Example 4</t>
  </si>
  <si>
    <t>NIST data (Norris): http://www.itl.nist.gov/div898/strd/lls/data/Norris.shtml</t>
  </si>
  <si>
    <t>x</t>
  </si>
  <si>
    <t>y</t>
  </si>
  <si>
    <t>A</t>
  </si>
  <si>
    <t>c</t>
  </si>
  <si>
    <t>y (calc.)</t>
  </si>
  <si>
    <t>Example 5</t>
    <phoneticPr fontId="1"/>
  </si>
  <si>
    <t>n</t>
    <phoneticPr fontId="1"/>
  </si>
  <si>
    <t>ln(n) [data]</t>
  </si>
  <si>
    <t>n</t>
  </si>
  <si>
    <t>ln(n) [calc]</t>
  </si>
  <si>
    <t>Example 6</t>
    <phoneticPr fontId="1"/>
  </si>
  <si>
    <t>a (r)</t>
    <phoneticPr fontId="1"/>
  </si>
  <si>
    <t>x (r)</t>
    <phoneticPr fontId="1"/>
  </si>
  <si>
    <t>x (i)</t>
    <phoneticPr fontId="1"/>
  </si>
  <si>
    <t>s(i)</t>
    <phoneticPr fontId="1"/>
  </si>
  <si>
    <t>Info</t>
    <phoneticPr fontId="1"/>
  </si>
  <si>
    <t>Iterations</t>
    <phoneticPr fontId="1"/>
  </si>
  <si>
    <t>Example 7</t>
    <phoneticPr fontId="1"/>
  </si>
  <si>
    <t>Example 8</t>
    <phoneticPr fontId="1"/>
  </si>
  <si>
    <t>Initial values</t>
    <phoneticPr fontId="1"/>
  </si>
  <si>
    <t>Solutions</t>
    <phoneticPr fontId="1"/>
  </si>
  <si>
    <t>x1</t>
    <phoneticPr fontId="1"/>
  </si>
  <si>
    <t>x2</t>
    <phoneticPr fontId="1"/>
  </si>
  <si>
    <t>d</t>
    <phoneticPr fontId="1"/>
  </si>
  <si>
    <t xml:space="preserve">N = </t>
    <phoneticPr fontId="1"/>
  </si>
  <si>
    <t xml:space="preserve">x = </t>
    <phoneticPr fontId="1"/>
  </si>
  <si>
    <t xml:space="preserve">fi(x) = </t>
    <phoneticPr fontId="1"/>
  </si>
  <si>
    <t>R8C2:R8C3</t>
    <phoneticPr fontId="1"/>
  </si>
  <si>
    <t>R9C2:R9C3</t>
    <phoneticPr fontId="1"/>
  </si>
  <si>
    <t/>
  </si>
  <si>
    <t>R5C1:R5C2</t>
    <phoneticPr fontId="1"/>
  </si>
  <si>
    <t>R5C3:R5C4</t>
    <phoneticPr fontId="1"/>
  </si>
  <si>
    <t>Example 8 (Solver)</t>
    <phoneticPr fontId="1"/>
  </si>
  <si>
    <t>Example 7 (Solver)</t>
    <phoneticPr fontId="1"/>
  </si>
  <si>
    <t>a</t>
    <phoneticPr fontId="1"/>
  </si>
  <si>
    <t>b</t>
    <phoneticPr fontId="1"/>
  </si>
  <si>
    <t>x (f(x) = 0)</t>
    <phoneticPr fontId="1"/>
  </si>
  <si>
    <t xml:space="preserve">f(x) = </t>
    <phoneticPr fontId="1"/>
  </si>
  <si>
    <t>R6C2</t>
    <phoneticPr fontId="1"/>
  </si>
  <si>
    <t>R7C2</t>
    <phoneticPr fontId="1"/>
  </si>
  <si>
    <t>R4C1:R4C3</t>
    <phoneticPr fontId="1"/>
  </si>
  <si>
    <t>Example 9</t>
    <phoneticPr fontId="1"/>
  </si>
  <si>
    <t>Example 9 (Solver)</t>
    <phoneticPr fontId="1"/>
  </si>
  <si>
    <t>Example 10</t>
    <phoneticPr fontId="1"/>
  </si>
  <si>
    <t>R9C2</t>
    <phoneticPr fontId="1"/>
  </si>
  <si>
    <t>Example 10 (Solver)</t>
    <phoneticPr fontId="1"/>
  </si>
  <si>
    <t>Example 11</t>
    <phoneticPr fontId="1"/>
  </si>
  <si>
    <t>Qag</t>
    <phoneticPr fontId="1"/>
  </si>
  <si>
    <t>I</t>
    <phoneticPr fontId="1"/>
  </si>
  <si>
    <t>Neval</t>
    <phoneticPr fontId="1"/>
  </si>
  <si>
    <t>∫f(x)dx [a, b]</t>
    <phoneticPr fontId="1"/>
  </si>
  <si>
    <t>f(x)</t>
    <phoneticPr fontId="1"/>
  </si>
  <si>
    <t>Example 11 (Solver)</t>
    <phoneticPr fontId="1"/>
  </si>
  <si>
    <t>Example 11 (2)</t>
    <phoneticPr fontId="1"/>
  </si>
  <si>
    <t>R3C2</t>
    <phoneticPr fontId="1"/>
  </si>
  <si>
    <t>R4C2</t>
    <phoneticPr fontId="1"/>
  </si>
  <si>
    <t>R7C1:R7C3</t>
    <phoneticPr fontId="1"/>
  </si>
  <si>
    <t>t</t>
    <phoneticPr fontId="1"/>
  </si>
  <si>
    <t>y (calc.)</t>
    <phoneticPr fontId="1"/>
  </si>
  <si>
    <t>y (exact)</t>
    <phoneticPr fontId="1"/>
  </si>
  <si>
    <t xml:space="preserve">n = </t>
    <phoneticPr fontId="1"/>
  </si>
  <si>
    <t xml:space="preserve">t = </t>
    <phoneticPr fontId="1"/>
  </si>
  <si>
    <t xml:space="preserve">y = </t>
    <phoneticPr fontId="1"/>
  </si>
  <si>
    <t xml:space="preserve">dy/dt = </t>
    <phoneticPr fontId="1"/>
  </si>
  <si>
    <t>R5C2</t>
    <phoneticPr fontId="1"/>
  </si>
  <si>
    <t>Example 13</t>
    <phoneticPr fontId="1"/>
  </si>
  <si>
    <t>DFT</t>
    <phoneticPr fontId="1"/>
  </si>
  <si>
    <t>IDFT</t>
    <phoneticPr fontId="1"/>
  </si>
  <si>
    <t>(Hz)</t>
    <phoneticPr fontId="1"/>
  </si>
  <si>
    <t>PSD</t>
    <phoneticPr fontId="1"/>
  </si>
  <si>
    <t>Example 14</t>
    <phoneticPr fontId="1"/>
  </si>
  <si>
    <t>y(calc)</t>
    <phoneticPr fontId="1"/>
  </si>
  <si>
    <t>Example 14 (Solver)</t>
    <phoneticPr fontId="1"/>
  </si>
  <si>
    <t xml:space="preserve">c1, c2 = </t>
    <phoneticPr fontId="1"/>
  </si>
  <si>
    <t>c1 (init)</t>
    <phoneticPr fontId="1"/>
  </si>
  <si>
    <t>c2 (init)</t>
    <phoneticPr fontId="1"/>
  </si>
  <si>
    <t>R11C4:R24C4</t>
    <phoneticPr fontId="1"/>
  </si>
  <si>
    <t>r=y-y(calc)</t>
    <phoneticPr fontId="1"/>
  </si>
  <si>
    <t>c</t>
    <phoneticPr fontId="1"/>
  </si>
  <si>
    <t>Initial value</t>
    <phoneticPr fontId="1"/>
  </si>
  <si>
    <t>Solution</t>
    <phoneticPr fontId="1"/>
  </si>
  <si>
    <t>Example 8 (2)</t>
    <phoneticPr fontId="1"/>
  </si>
  <si>
    <t>Qk15</t>
    <phoneticPr fontId="1"/>
  </si>
  <si>
    <t xml:space="preserve">y1 = </t>
    <phoneticPr fontId="1"/>
  </si>
  <si>
    <t xml:space="preserve">y2 = </t>
    <phoneticPr fontId="1"/>
  </si>
  <si>
    <t xml:space="preserve">dy1/dt = </t>
    <phoneticPr fontId="1"/>
  </si>
  <si>
    <t xml:space="preserve">dy2/dt = </t>
    <phoneticPr fontId="1"/>
  </si>
  <si>
    <t>R5C2:R6C2</t>
    <phoneticPr fontId="1"/>
  </si>
  <si>
    <t>R7C2:R8C2</t>
    <phoneticPr fontId="1"/>
  </si>
  <si>
    <t>c1</t>
    <phoneticPr fontId="1"/>
  </si>
  <si>
    <t>c2</t>
    <phoneticPr fontId="1"/>
  </si>
  <si>
    <t>NIST data (Misra1a): https://www.itl.nist.gov/div898/strd/nls/data/misra1a.shtml</t>
    <phoneticPr fontId="1"/>
  </si>
  <si>
    <t>R4C4:R23C5</t>
    <phoneticPr fontId="1"/>
  </si>
  <si>
    <t>y1</t>
  </si>
  <si>
    <t>y1</t>
    <phoneticPr fontId="1"/>
  </si>
  <si>
    <t>y2</t>
  </si>
  <si>
    <t>y2</t>
    <phoneticPr fontId="1"/>
  </si>
  <si>
    <t>y1'</t>
  </si>
  <si>
    <t>y1'</t>
    <phoneticPr fontId="1"/>
  </si>
  <si>
    <t>y2'</t>
  </si>
  <si>
    <t>y2'</t>
    <phoneticPr fontId="1"/>
  </si>
  <si>
    <t>t</t>
  </si>
  <si>
    <t>Neval</t>
  </si>
  <si>
    <t>Example 12 (Derkfa)</t>
    <phoneticPr fontId="1"/>
  </si>
  <si>
    <t>Example 12 (2) (Derkfa)</t>
    <phoneticPr fontId="1"/>
  </si>
  <si>
    <t>Example 12 (3) (Dopn43)</t>
    <phoneticPr fontId="1"/>
  </si>
  <si>
    <t>Example 12 (Solver) (Derkfa)</t>
    <phoneticPr fontId="1"/>
  </si>
  <si>
    <t>Example 12 (Solver) (2) (Derkfa)</t>
    <phoneticPr fontId="1"/>
  </si>
  <si>
    <t>Example 12 (Solver) (3) (Dopn43)</t>
    <phoneticPr fontId="1"/>
  </si>
  <si>
    <t>R4C4:R23C8</t>
    <phoneticPr fontId="1"/>
  </si>
  <si>
    <t xml:space="preserve">y3 = </t>
    <phoneticPr fontId="1"/>
  </si>
  <si>
    <t xml:space="preserve">y4 = </t>
    <phoneticPr fontId="1"/>
  </si>
  <si>
    <t xml:space="preserve">dy3/dt = </t>
    <phoneticPr fontId="1"/>
  </si>
  <si>
    <t xml:space="preserve">dy4/dt = </t>
    <phoneticPr fontId="1"/>
  </si>
  <si>
    <t>y3</t>
  </si>
  <si>
    <t>y3</t>
    <phoneticPr fontId="1"/>
  </si>
  <si>
    <t>y4</t>
  </si>
  <si>
    <t>y4</t>
    <phoneticPr fontId="1"/>
  </si>
  <si>
    <t>R5C2:R8C2</t>
    <phoneticPr fontId="1"/>
  </si>
  <si>
    <t>R9C2:R12C2</t>
    <phoneticPr fontId="1"/>
  </si>
  <si>
    <t>Example 2 (Dgesv)</t>
    <phoneticPr fontId="1"/>
  </si>
  <si>
    <t>Example 2 (WDgesv)</t>
    <phoneticPr fontId="1"/>
  </si>
  <si>
    <t>Example 2 (Dposv)</t>
    <phoneticPr fontId="1"/>
  </si>
  <si>
    <t>Example 2 (WDposv)</t>
    <phoneticPr fontId="1"/>
  </si>
  <si>
    <t>Example 16</t>
    <phoneticPr fontId="1"/>
  </si>
  <si>
    <t>EstAbsErr</t>
    <phoneticPr fontId="1"/>
  </si>
  <si>
    <t>f(t)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</si>
</sst>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00000000_ 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8" tint="0.79998168889431442"/>
        <bgColor indexed="64"/>
      </patternFill>
    </fill>
  </fills>
  <borders count="3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</borders>
  <cellStyleXfs count="1">
    <xf numFmtId="0" fontId="0" fillId="0" borderId="0">
      <alignment vertical="center"/>
    </xf>
  </cellStyleXfs>
  <cellXfs count="92">
    <xf numFmtId="0" fontId="0" fillId="0" borderId="0" xfId="0">
      <alignment vertical="center"/>
    </xf>
    <xf numFmtId="0" fontId="0" fillId="2" borderId="5" xfId="0" applyFill="1" applyBorder="1">
      <alignment vertical="center"/>
    </xf>
    <xf numFmtId="0" fontId="0" fillId="2" borderId="6" xfId="0" applyFill="1" applyBorder="1">
      <alignment vertical="center"/>
    </xf>
    <xf numFmtId="0" fontId="0" fillId="2" borderId="7" xfId="0" applyFill="1" applyBorder="1">
      <alignment vertical="center"/>
    </xf>
    <xf numFmtId="0" fontId="0" fillId="2" borderId="2" xfId="0" applyFill="1" applyBorder="1">
      <alignment vertical="center"/>
    </xf>
    <xf numFmtId="0" fontId="0" fillId="2" borderId="8" xfId="0" applyFill="1" applyBorder="1">
      <alignment vertical="center"/>
    </xf>
    <xf numFmtId="0" fontId="0" fillId="2" borderId="9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11" xfId="0" applyFill="1" applyBorder="1">
      <alignment vertical="center"/>
    </xf>
    <xf numFmtId="0" fontId="0" fillId="2" borderId="12" xfId="0" applyFill="1" applyBorder="1">
      <alignment vertical="center"/>
    </xf>
    <xf numFmtId="0" fontId="0" fillId="2" borderId="13" xfId="0" applyFill="1" applyBorder="1">
      <alignment vertical="center"/>
    </xf>
    <xf numFmtId="0" fontId="0" fillId="2" borderId="4" xfId="0" applyFill="1" applyBorder="1">
      <alignment vertical="center"/>
    </xf>
    <xf numFmtId="0" fontId="0" fillId="3" borderId="2" xfId="0" applyFill="1" applyBorder="1">
      <alignment vertical="center"/>
    </xf>
    <xf numFmtId="0" fontId="0" fillId="3" borderId="3" xfId="0" applyFill="1" applyBorder="1">
      <alignment vertical="center"/>
    </xf>
    <xf numFmtId="0" fontId="0" fillId="3" borderId="4" xfId="0" applyFill="1" applyBorder="1">
      <alignment vertical="center"/>
    </xf>
    <xf numFmtId="0" fontId="0" fillId="3" borderId="1" xfId="0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Border="1">
      <alignment vertical="center"/>
    </xf>
    <xf numFmtId="0" fontId="0" fillId="2" borderId="14" xfId="0" applyFill="1" applyBorder="1">
      <alignment vertical="center"/>
    </xf>
    <xf numFmtId="0" fontId="0" fillId="2" borderId="17" xfId="0" applyFill="1" applyBorder="1">
      <alignment vertical="center"/>
    </xf>
    <xf numFmtId="0" fontId="0" fillId="2" borderId="15" xfId="0" applyFill="1" applyBorder="1">
      <alignment vertical="center"/>
    </xf>
    <xf numFmtId="0" fontId="0" fillId="2" borderId="18" xfId="0" applyFill="1" applyBorder="1">
      <alignment vertical="center"/>
    </xf>
    <xf numFmtId="0" fontId="0" fillId="2" borderId="16" xfId="0" applyFill="1" applyBorder="1">
      <alignment vertical="center"/>
    </xf>
    <xf numFmtId="0" fontId="0" fillId="2" borderId="19" xfId="0" applyFill="1" applyBorder="1">
      <alignment vertical="center"/>
    </xf>
    <xf numFmtId="0" fontId="0" fillId="3" borderId="14" xfId="0" applyFill="1" applyBorder="1">
      <alignment vertical="center"/>
    </xf>
    <xf numFmtId="0" fontId="0" fillId="3" borderId="6" xfId="0" applyFill="1" applyBorder="1">
      <alignment vertical="center"/>
    </xf>
    <xf numFmtId="0" fontId="0" fillId="3" borderId="17" xfId="0" applyFill="1" applyBorder="1">
      <alignment vertical="center"/>
    </xf>
    <xf numFmtId="0" fontId="0" fillId="3" borderId="15" xfId="0" applyFill="1" applyBorder="1">
      <alignment vertical="center"/>
    </xf>
    <xf numFmtId="0" fontId="0" fillId="3" borderId="9" xfId="0" applyFill="1" applyBorder="1">
      <alignment vertical="center"/>
    </xf>
    <xf numFmtId="0" fontId="0" fillId="3" borderId="18" xfId="0" applyFill="1" applyBorder="1">
      <alignment vertical="center"/>
    </xf>
    <xf numFmtId="0" fontId="0" fillId="3" borderId="16" xfId="0" applyFill="1" applyBorder="1">
      <alignment vertical="center"/>
    </xf>
    <xf numFmtId="0" fontId="0" fillId="3" borderId="12" xfId="0" applyFill="1" applyBorder="1">
      <alignment vertical="center"/>
    </xf>
    <xf numFmtId="0" fontId="0" fillId="3" borderId="19" xfId="0" applyFill="1" applyBorder="1">
      <alignment vertical="center"/>
    </xf>
    <xf numFmtId="0" fontId="0" fillId="3" borderId="20" xfId="0" applyFill="1" applyBorder="1">
      <alignment vertical="center"/>
    </xf>
    <xf numFmtId="0" fontId="0" fillId="0" borderId="21" xfId="0" applyBorder="1">
      <alignment vertical="center"/>
    </xf>
    <xf numFmtId="0" fontId="0" fillId="0" borderId="20" xfId="0" applyBorder="1">
      <alignment vertical="center"/>
    </xf>
    <xf numFmtId="0" fontId="0" fillId="0" borderId="22" xfId="0" applyBorder="1">
      <alignment vertical="center"/>
    </xf>
    <xf numFmtId="0" fontId="0" fillId="0" borderId="5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3" xfId="0" applyBorder="1">
      <alignment vertical="center"/>
    </xf>
    <xf numFmtId="0" fontId="0" fillId="3" borderId="5" xfId="0" applyFill="1" applyBorder="1">
      <alignment vertical="center"/>
    </xf>
    <xf numFmtId="0" fontId="0" fillId="3" borderId="7" xfId="0" applyFill="1" applyBorder="1">
      <alignment vertical="center"/>
    </xf>
    <xf numFmtId="0" fontId="0" fillId="3" borderId="8" xfId="0" applyFill="1" applyBorder="1">
      <alignment vertical="center"/>
    </xf>
    <xf numFmtId="0" fontId="0" fillId="3" borderId="10" xfId="0" applyFill="1" applyBorder="1">
      <alignment vertical="center"/>
    </xf>
    <xf numFmtId="0" fontId="0" fillId="3" borderId="11" xfId="0" applyFill="1" applyBorder="1">
      <alignment vertical="center"/>
    </xf>
    <xf numFmtId="0" fontId="0" fillId="3" borderId="13" xfId="0" applyFill="1" applyBorder="1">
      <alignment vertical="center"/>
    </xf>
    <xf numFmtId="0" fontId="0" fillId="3" borderId="23" xfId="0" applyFill="1" applyBorder="1">
      <alignment vertical="center"/>
    </xf>
    <xf numFmtId="0" fontId="0" fillId="3" borderId="24" xfId="0" applyFill="1" applyBorder="1">
      <alignment vertical="center"/>
    </xf>
    <xf numFmtId="0" fontId="0" fillId="0" borderId="25" xfId="0" applyBorder="1">
      <alignment vertical="center"/>
    </xf>
    <xf numFmtId="0" fontId="0" fillId="4" borderId="23" xfId="0" applyFill="1" applyBorder="1">
      <alignment vertical="center"/>
    </xf>
    <xf numFmtId="0" fontId="0" fillId="4" borderId="24" xfId="0" applyFill="1" applyBorder="1">
      <alignment vertical="center"/>
    </xf>
    <xf numFmtId="0" fontId="0" fillId="0" borderId="26" xfId="0" applyBorder="1">
      <alignment vertical="center"/>
    </xf>
    <xf numFmtId="0" fontId="0" fillId="0" borderId="27" xfId="0" applyBorder="1">
      <alignment vertical="center"/>
    </xf>
    <xf numFmtId="0" fontId="0" fillId="4" borderId="28" xfId="0" applyFill="1" applyBorder="1">
      <alignment vertical="center"/>
    </xf>
    <xf numFmtId="0" fontId="0" fillId="4" borderId="29" xfId="0" applyFill="1" applyBorder="1">
      <alignment vertical="center"/>
    </xf>
    <xf numFmtId="0" fontId="0" fillId="4" borderId="22" xfId="0" applyFill="1" applyBorder="1">
      <alignment vertical="center"/>
    </xf>
    <xf numFmtId="0" fontId="0" fillId="4" borderId="1" xfId="0" applyFill="1" applyBorder="1">
      <alignment vertical="center"/>
    </xf>
    <xf numFmtId="0" fontId="0" fillId="4" borderId="31" xfId="0" applyFill="1" applyBorder="1">
      <alignment vertical="center"/>
    </xf>
    <xf numFmtId="0" fontId="0" fillId="4" borderId="32" xfId="0" applyFill="1" applyBorder="1">
      <alignment vertical="center"/>
    </xf>
    <xf numFmtId="0" fontId="0" fillId="0" borderId="22" xfId="0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0" fillId="2" borderId="23" xfId="0" applyFill="1" applyBorder="1">
      <alignment vertical="center"/>
    </xf>
    <xf numFmtId="0" fontId="0" fillId="2" borderId="24" xfId="0" applyFill="1" applyBorder="1">
      <alignment vertical="center"/>
    </xf>
    <xf numFmtId="0" fontId="0" fillId="4" borderId="1" xfId="0" applyFill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0" borderId="4" xfId="0" applyBorder="1" applyAlignment="1">
      <alignment horizontal="right" vertical="center"/>
    </xf>
    <xf numFmtId="0" fontId="0" fillId="0" borderId="33" xfId="0" applyBorder="1">
      <alignment vertical="center"/>
    </xf>
    <xf numFmtId="0" fontId="0" fillId="4" borderId="2" xfId="0" applyFill="1" applyBorder="1">
      <alignment vertical="center"/>
    </xf>
    <xf numFmtId="0" fontId="0" fillId="4" borderId="4" xfId="0" applyFill="1" applyBorder="1">
      <alignment vertical="center"/>
    </xf>
    <xf numFmtId="176" fontId="0" fillId="0" borderId="0" xfId="0" applyNumberFormat="1">
      <alignment vertical="center"/>
    </xf>
    <xf numFmtId="176" fontId="0" fillId="4" borderId="1" xfId="0" applyNumberFormat="1" applyFill="1" applyBorder="1">
      <alignment vertical="center"/>
    </xf>
    <xf numFmtId="176" fontId="0" fillId="4" borderId="23" xfId="0" applyNumberFormat="1" applyFill="1" applyBorder="1">
      <alignment vertical="center"/>
    </xf>
    <xf numFmtId="0" fontId="0" fillId="4" borderId="30" xfId="0" applyFill="1" applyBorder="1">
      <alignment vertical="center"/>
    </xf>
    <xf numFmtId="0" fontId="0" fillId="3" borderId="28" xfId="0" applyFill="1" applyBorder="1">
      <alignment vertical="center"/>
    </xf>
    <xf numFmtId="176" fontId="0" fillId="4" borderId="24" xfId="0" applyNumberFormat="1" applyFill="1" applyBorder="1">
      <alignment vertical="center"/>
    </xf>
    <xf numFmtId="0" fontId="0" fillId="0" borderId="2" xfId="0" applyBorder="1" applyAlignment="1">
      <alignment horizontal="right" vertical="center"/>
    </xf>
    <xf numFmtId="0" fontId="0" fillId="4" borderId="23" xfId="0" applyFill="1" applyBorder="1" applyAlignment="1">
      <alignment horizontal="center" vertical="center"/>
    </xf>
    <xf numFmtId="0" fontId="0" fillId="4" borderId="24" xfId="0" applyFill="1" applyBorder="1" applyAlignment="1">
      <alignment horizontal="center" vertical="center"/>
    </xf>
    <xf numFmtId="0" fontId="0" fillId="5" borderId="22" xfId="0" applyFill="1" applyBorder="1">
      <alignment vertical="center"/>
    </xf>
    <xf numFmtId="0" fontId="0" fillId="5" borderId="21" xfId="0" applyFill="1" applyBorder="1">
      <alignment vertical="center"/>
    </xf>
    <xf numFmtId="0" fontId="0" fillId="5" borderId="30" xfId="0" applyFill="1" applyBorder="1">
      <alignment vertical="center"/>
    </xf>
    <xf numFmtId="0" fontId="0" fillId="0" borderId="3" xfId="0" applyBorder="1" applyAlignment="1">
      <alignment horizontal="right" vertical="center"/>
    </xf>
    <xf numFmtId="0" fontId="0" fillId="3" borderId="34" xfId="0" applyFill="1" applyBorder="1">
      <alignment vertical="center"/>
    </xf>
    <xf numFmtId="0" fontId="0" fillId="4" borderId="22" xfId="0" applyFill="1" applyBorder="1">
      <alignment vertical="center"/>
    </xf>
    <xf numFmtId="0" fontId="0" fillId="0" borderId="30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eetMetadata" Target="metadata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'Ex4'!$A$5:$A$40</c:f>
              <c:numCache>
                <c:formatCode>General</c:formatCode>
                <c:ptCount val="36"/>
                <c:pt idx="0">
                  <c:v>0.2</c:v>
                </c:pt>
                <c:pt idx="1">
                  <c:v>337.4</c:v>
                </c:pt>
                <c:pt idx="2">
                  <c:v>118.2</c:v>
                </c:pt>
                <c:pt idx="3">
                  <c:v>884.6</c:v>
                </c:pt>
                <c:pt idx="4">
                  <c:v>10.1</c:v>
                </c:pt>
                <c:pt idx="5">
                  <c:v>226.5</c:v>
                </c:pt>
                <c:pt idx="6">
                  <c:v>666.3</c:v>
                </c:pt>
                <c:pt idx="7">
                  <c:v>996.3</c:v>
                </c:pt>
                <c:pt idx="8">
                  <c:v>448.6</c:v>
                </c:pt>
                <c:pt idx="9">
                  <c:v>777</c:v>
                </c:pt>
                <c:pt idx="10">
                  <c:v>558.20000000000005</c:v>
                </c:pt>
                <c:pt idx="11">
                  <c:v>0.4</c:v>
                </c:pt>
                <c:pt idx="12">
                  <c:v>0.6</c:v>
                </c:pt>
                <c:pt idx="13">
                  <c:v>775.5</c:v>
                </c:pt>
                <c:pt idx="14">
                  <c:v>666.9</c:v>
                </c:pt>
                <c:pt idx="15">
                  <c:v>338</c:v>
                </c:pt>
                <c:pt idx="16">
                  <c:v>447.5</c:v>
                </c:pt>
                <c:pt idx="17">
                  <c:v>11.6</c:v>
                </c:pt>
                <c:pt idx="18">
                  <c:v>556</c:v>
                </c:pt>
                <c:pt idx="19">
                  <c:v>228.1</c:v>
                </c:pt>
                <c:pt idx="20">
                  <c:v>995.8</c:v>
                </c:pt>
                <c:pt idx="21">
                  <c:v>887.6</c:v>
                </c:pt>
                <c:pt idx="22">
                  <c:v>120.2</c:v>
                </c:pt>
                <c:pt idx="23">
                  <c:v>0.3</c:v>
                </c:pt>
                <c:pt idx="24">
                  <c:v>0.3</c:v>
                </c:pt>
                <c:pt idx="25">
                  <c:v>556.79999999999995</c:v>
                </c:pt>
                <c:pt idx="26">
                  <c:v>339.1</c:v>
                </c:pt>
                <c:pt idx="27">
                  <c:v>887.2</c:v>
                </c:pt>
                <c:pt idx="28">
                  <c:v>999</c:v>
                </c:pt>
                <c:pt idx="29">
                  <c:v>779</c:v>
                </c:pt>
                <c:pt idx="30">
                  <c:v>11.1</c:v>
                </c:pt>
                <c:pt idx="31">
                  <c:v>118.3</c:v>
                </c:pt>
                <c:pt idx="32">
                  <c:v>229.2</c:v>
                </c:pt>
                <c:pt idx="33">
                  <c:v>669.1</c:v>
                </c:pt>
                <c:pt idx="34">
                  <c:v>448.9</c:v>
                </c:pt>
                <c:pt idx="35">
                  <c:v>0.5</c:v>
                </c:pt>
              </c:numCache>
            </c:numRef>
          </c:xVal>
          <c:yVal>
            <c:numRef>
              <c:f>'Ex4'!$B$5:$B$40</c:f>
              <c:numCache>
                <c:formatCode>General</c:formatCode>
                <c:ptCount val="36"/>
                <c:pt idx="0">
                  <c:v>0.1</c:v>
                </c:pt>
                <c:pt idx="1">
                  <c:v>338.8</c:v>
                </c:pt>
                <c:pt idx="2">
                  <c:v>118.1</c:v>
                </c:pt>
                <c:pt idx="3">
                  <c:v>888</c:v>
                </c:pt>
                <c:pt idx="4">
                  <c:v>9.1999999999999993</c:v>
                </c:pt>
                <c:pt idx="5">
                  <c:v>228.1</c:v>
                </c:pt>
                <c:pt idx="6">
                  <c:v>668.5</c:v>
                </c:pt>
                <c:pt idx="7">
                  <c:v>998.5</c:v>
                </c:pt>
                <c:pt idx="8">
                  <c:v>449.1</c:v>
                </c:pt>
                <c:pt idx="9">
                  <c:v>778.9</c:v>
                </c:pt>
                <c:pt idx="10">
                  <c:v>559.20000000000005</c:v>
                </c:pt>
                <c:pt idx="11">
                  <c:v>0.3</c:v>
                </c:pt>
                <c:pt idx="12">
                  <c:v>0.1</c:v>
                </c:pt>
                <c:pt idx="13">
                  <c:v>778.1</c:v>
                </c:pt>
                <c:pt idx="14">
                  <c:v>668.8</c:v>
                </c:pt>
                <c:pt idx="15">
                  <c:v>339.3</c:v>
                </c:pt>
                <c:pt idx="16">
                  <c:v>448.9</c:v>
                </c:pt>
                <c:pt idx="17">
                  <c:v>10.8</c:v>
                </c:pt>
                <c:pt idx="18">
                  <c:v>557.70000000000005</c:v>
                </c:pt>
                <c:pt idx="19">
                  <c:v>228.3</c:v>
                </c:pt>
                <c:pt idx="20">
                  <c:v>998</c:v>
                </c:pt>
                <c:pt idx="21">
                  <c:v>888.8</c:v>
                </c:pt>
                <c:pt idx="22">
                  <c:v>119.6</c:v>
                </c:pt>
                <c:pt idx="23">
                  <c:v>0.3</c:v>
                </c:pt>
                <c:pt idx="24">
                  <c:v>0.6</c:v>
                </c:pt>
                <c:pt idx="25">
                  <c:v>557.6</c:v>
                </c:pt>
                <c:pt idx="26">
                  <c:v>339.3</c:v>
                </c:pt>
                <c:pt idx="27">
                  <c:v>888</c:v>
                </c:pt>
                <c:pt idx="28">
                  <c:v>998.5</c:v>
                </c:pt>
                <c:pt idx="29">
                  <c:v>778.9</c:v>
                </c:pt>
                <c:pt idx="30">
                  <c:v>10.199999999999999</c:v>
                </c:pt>
                <c:pt idx="31">
                  <c:v>117.6</c:v>
                </c:pt>
                <c:pt idx="32">
                  <c:v>228.9</c:v>
                </c:pt>
                <c:pt idx="33">
                  <c:v>668.4</c:v>
                </c:pt>
                <c:pt idx="34">
                  <c:v>449.2</c:v>
                </c:pt>
                <c:pt idx="3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D1-44A6-BF8A-0AC883B0F07E}"/>
            </c:ext>
          </c:extLst>
        </c:ser>
        <c:ser>
          <c:idx val="1"/>
          <c:order val="1"/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'Ex4'!$A$5:$A$40</c:f>
              <c:numCache>
                <c:formatCode>General</c:formatCode>
                <c:ptCount val="36"/>
                <c:pt idx="0">
                  <c:v>0.2</c:v>
                </c:pt>
                <c:pt idx="1">
                  <c:v>337.4</c:v>
                </c:pt>
                <c:pt idx="2">
                  <c:v>118.2</c:v>
                </c:pt>
                <c:pt idx="3">
                  <c:v>884.6</c:v>
                </c:pt>
                <c:pt idx="4">
                  <c:v>10.1</c:v>
                </c:pt>
                <c:pt idx="5">
                  <c:v>226.5</c:v>
                </c:pt>
                <c:pt idx="6">
                  <c:v>666.3</c:v>
                </c:pt>
                <c:pt idx="7">
                  <c:v>996.3</c:v>
                </c:pt>
                <c:pt idx="8">
                  <c:v>448.6</c:v>
                </c:pt>
                <c:pt idx="9">
                  <c:v>777</c:v>
                </c:pt>
                <c:pt idx="10">
                  <c:v>558.20000000000005</c:v>
                </c:pt>
                <c:pt idx="11">
                  <c:v>0.4</c:v>
                </c:pt>
                <c:pt idx="12">
                  <c:v>0.6</c:v>
                </c:pt>
                <c:pt idx="13">
                  <c:v>775.5</c:v>
                </c:pt>
                <c:pt idx="14">
                  <c:v>666.9</c:v>
                </c:pt>
                <c:pt idx="15">
                  <c:v>338</c:v>
                </c:pt>
                <c:pt idx="16">
                  <c:v>447.5</c:v>
                </c:pt>
                <c:pt idx="17">
                  <c:v>11.6</c:v>
                </c:pt>
                <c:pt idx="18">
                  <c:v>556</c:v>
                </c:pt>
                <c:pt idx="19">
                  <c:v>228.1</c:v>
                </c:pt>
                <c:pt idx="20">
                  <c:v>995.8</c:v>
                </c:pt>
                <c:pt idx="21">
                  <c:v>887.6</c:v>
                </c:pt>
                <c:pt idx="22">
                  <c:v>120.2</c:v>
                </c:pt>
                <c:pt idx="23">
                  <c:v>0.3</c:v>
                </c:pt>
                <c:pt idx="24">
                  <c:v>0.3</c:v>
                </c:pt>
                <c:pt idx="25">
                  <c:v>556.79999999999995</c:v>
                </c:pt>
                <c:pt idx="26">
                  <c:v>339.1</c:v>
                </c:pt>
                <c:pt idx="27">
                  <c:v>887.2</c:v>
                </c:pt>
                <c:pt idx="28">
                  <c:v>999</c:v>
                </c:pt>
                <c:pt idx="29">
                  <c:v>779</c:v>
                </c:pt>
                <c:pt idx="30">
                  <c:v>11.1</c:v>
                </c:pt>
                <c:pt idx="31">
                  <c:v>118.3</c:v>
                </c:pt>
                <c:pt idx="32">
                  <c:v>229.2</c:v>
                </c:pt>
                <c:pt idx="33">
                  <c:v>669.1</c:v>
                </c:pt>
                <c:pt idx="34">
                  <c:v>448.9</c:v>
                </c:pt>
                <c:pt idx="35">
                  <c:v>0.5</c:v>
                </c:pt>
              </c:numCache>
            </c:numRef>
          </c:xVal>
          <c:yVal>
            <c:numRef>
              <c:f>'Ex4'!$F$5:$F$40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D1-44A6-BF8A-0AC883B0F0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1717160"/>
        <c:axId val="321712064"/>
      </c:scatterChart>
      <c:valAx>
        <c:axId val="321717160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21712064"/>
        <c:crosses val="autoZero"/>
        <c:crossBetween val="midCat"/>
      </c:valAx>
      <c:valAx>
        <c:axId val="321712064"/>
        <c:scaling>
          <c:orientation val="minMax"/>
          <c:max val="1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21717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Ex4W!$A$4:$A$39</c:f>
              <c:numCache>
                <c:formatCode>General</c:formatCode>
                <c:ptCount val="36"/>
                <c:pt idx="0">
                  <c:v>0.2</c:v>
                </c:pt>
                <c:pt idx="1">
                  <c:v>337.4</c:v>
                </c:pt>
                <c:pt idx="2">
                  <c:v>118.2</c:v>
                </c:pt>
                <c:pt idx="3">
                  <c:v>884.6</c:v>
                </c:pt>
                <c:pt idx="4">
                  <c:v>10.1</c:v>
                </c:pt>
                <c:pt idx="5">
                  <c:v>226.5</c:v>
                </c:pt>
                <c:pt idx="6">
                  <c:v>666.3</c:v>
                </c:pt>
                <c:pt idx="7">
                  <c:v>996.3</c:v>
                </c:pt>
                <c:pt idx="8">
                  <c:v>448.6</c:v>
                </c:pt>
                <c:pt idx="9">
                  <c:v>777</c:v>
                </c:pt>
                <c:pt idx="10">
                  <c:v>558.20000000000005</c:v>
                </c:pt>
                <c:pt idx="11">
                  <c:v>0.4</c:v>
                </c:pt>
                <c:pt idx="12">
                  <c:v>0.6</c:v>
                </c:pt>
                <c:pt idx="13">
                  <c:v>775.5</c:v>
                </c:pt>
                <c:pt idx="14">
                  <c:v>666.9</c:v>
                </c:pt>
                <c:pt idx="15">
                  <c:v>338</c:v>
                </c:pt>
                <c:pt idx="16">
                  <c:v>447.5</c:v>
                </c:pt>
                <c:pt idx="17">
                  <c:v>11.6</c:v>
                </c:pt>
                <c:pt idx="18">
                  <c:v>556</c:v>
                </c:pt>
                <c:pt idx="19">
                  <c:v>228.1</c:v>
                </c:pt>
                <c:pt idx="20">
                  <c:v>995.8</c:v>
                </c:pt>
                <c:pt idx="21">
                  <c:v>887.6</c:v>
                </c:pt>
                <c:pt idx="22">
                  <c:v>120.2</c:v>
                </c:pt>
                <c:pt idx="23">
                  <c:v>0.3</c:v>
                </c:pt>
                <c:pt idx="24">
                  <c:v>0.3</c:v>
                </c:pt>
                <c:pt idx="25">
                  <c:v>556.79999999999995</c:v>
                </c:pt>
                <c:pt idx="26">
                  <c:v>339.1</c:v>
                </c:pt>
                <c:pt idx="27">
                  <c:v>887.2</c:v>
                </c:pt>
                <c:pt idx="28">
                  <c:v>999</c:v>
                </c:pt>
                <c:pt idx="29">
                  <c:v>779</c:v>
                </c:pt>
                <c:pt idx="30">
                  <c:v>11.1</c:v>
                </c:pt>
                <c:pt idx="31">
                  <c:v>118.3</c:v>
                </c:pt>
                <c:pt idx="32">
                  <c:v>229.2</c:v>
                </c:pt>
                <c:pt idx="33">
                  <c:v>669.1</c:v>
                </c:pt>
                <c:pt idx="34">
                  <c:v>448.9</c:v>
                </c:pt>
                <c:pt idx="35">
                  <c:v>0.5</c:v>
                </c:pt>
              </c:numCache>
            </c:numRef>
          </c:xVal>
          <c:yVal>
            <c:numRef>
              <c:f>Ex4W!$B$4:$B$39</c:f>
              <c:numCache>
                <c:formatCode>General</c:formatCode>
                <c:ptCount val="36"/>
                <c:pt idx="0">
                  <c:v>0.1</c:v>
                </c:pt>
                <c:pt idx="1">
                  <c:v>338.8</c:v>
                </c:pt>
                <c:pt idx="2">
                  <c:v>118.1</c:v>
                </c:pt>
                <c:pt idx="3">
                  <c:v>888</c:v>
                </c:pt>
                <c:pt idx="4">
                  <c:v>9.1999999999999993</c:v>
                </c:pt>
                <c:pt idx="5">
                  <c:v>228.1</c:v>
                </c:pt>
                <c:pt idx="6">
                  <c:v>668.5</c:v>
                </c:pt>
                <c:pt idx="7">
                  <c:v>998.5</c:v>
                </c:pt>
                <c:pt idx="8">
                  <c:v>449.1</c:v>
                </c:pt>
                <c:pt idx="9">
                  <c:v>778.9</c:v>
                </c:pt>
                <c:pt idx="10">
                  <c:v>559.20000000000005</c:v>
                </c:pt>
                <c:pt idx="11">
                  <c:v>0.3</c:v>
                </c:pt>
                <c:pt idx="12">
                  <c:v>0.1</c:v>
                </c:pt>
                <c:pt idx="13">
                  <c:v>778.1</c:v>
                </c:pt>
                <c:pt idx="14">
                  <c:v>668.8</c:v>
                </c:pt>
                <c:pt idx="15">
                  <c:v>339.3</c:v>
                </c:pt>
                <c:pt idx="16">
                  <c:v>448.9</c:v>
                </c:pt>
                <c:pt idx="17">
                  <c:v>10.8</c:v>
                </c:pt>
                <c:pt idx="18">
                  <c:v>557.70000000000005</c:v>
                </c:pt>
                <c:pt idx="19">
                  <c:v>228.3</c:v>
                </c:pt>
                <c:pt idx="20">
                  <c:v>998</c:v>
                </c:pt>
                <c:pt idx="21">
                  <c:v>888.8</c:v>
                </c:pt>
                <c:pt idx="22">
                  <c:v>119.6</c:v>
                </c:pt>
                <c:pt idx="23">
                  <c:v>0.3</c:v>
                </c:pt>
                <c:pt idx="24">
                  <c:v>0.6</c:v>
                </c:pt>
                <c:pt idx="25">
                  <c:v>557.6</c:v>
                </c:pt>
                <c:pt idx="26">
                  <c:v>339.3</c:v>
                </c:pt>
                <c:pt idx="27">
                  <c:v>888</c:v>
                </c:pt>
                <c:pt idx="28">
                  <c:v>998.5</c:v>
                </c:pt>
                <c:pt idx="29">
                  <c:v>778.9</c:v>
                </c:pt>
                <c:pt idx="30">
                  <c:v>10.199999999999999</c:v>
                </c:pt>
                <c:pt idx="31">
                  <c:v>117.6</c:v>
                </c:pt>
                <c:pt idx="32">
                  <c:v>228.9</c:v>
                </c:pt>
                <c:pt idx="33">
                  <c:v>668.4</c:v>
                </c:pt>
                <c:pt idx="34">
                  <c:v>449.2</c:v>
                </c:pt>
                <c:pt idx="3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49-4141-A50C-35C2499B3F9F}"/>
            </c:ext>
          </c:extLst>
        </c:ser>
        <c:ser>
          <c:idx val="1"/>
          <c:order val="1"/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Ex4W!$A$4:$A$39</c:f>
              <c:numCache>
                <c:formatCode>General</c:formatCode>
                <c:ptCount val="36"/>
                <c:pt idx="0">
                  <c:v>0.2</c:v>
                </c:pt>
                <c:pt idx="1">
                  <c:v>337.4</c:v>
                </c:pt>
                <c:pt idx="2">
                  <c:v>118.2</c:v>
                </c:pt>
                <c:pt idx="3">
                  <c:v>884.6</c:v>
                </c:pt>
                <c:pt idx="4">
                  <c:v>10.1</c:v>
                </c:pt>
                <c:pt idx="5">
                  <c:v>226.5</c:v>
                </c:pt>
                <c:pt idx="6">
                  <c:v>666.3</c:v>
                </c:pt>
                <c:pt idx="7">
                  <c:v>996.3</c:v>
                </c:pt>
                <c:pt idx="8">
                  <c:v>448.6</c:v>
                </c:pt>
                <c:pt idx="9">
                  <c:v>777</c:v>
                </c:pt>
                <c:pt idx="10">
                  <c:v>558.20000000000005</c:v>
                </c:pt>
                <c:pt idx="11">
                  <c:v>0.4</c:v>
                </c:pt>
                <c:pt idx="12">
                  <c:v>0.6</c:v>
                </c:pt>
                <c:pt idx="13">
                  <c:v>775.5</c:v>
                </c:pt>
                <c:pt idx="14">
                  <c:v>666.9</c:v>
                </c:pt>
                <c:pt idx="15">
                  <c:v>338</c:v>
                </c:pt>
                <c:pt idx="16">
                  <c:v>447.5</c:v>
                </c:pt>
                <c:pt idx="17">
                  <c:v>11.6</c:v>
                </c:pt>
                <c:pt idx="18">
                  <c:v>556</c:v>
                </c:pt>
                <c:pt idx="19">
                  <c:v>228.1</c:v>
                </c:pt>
                <c:pt idx="20">
                  <c:v>995.8</c:v>
                </c:pt>
                <c:pt idx="21">
                  <c:v>887.6</c:v>
                </c:pt>
                <c:pt idx="22">
                  <c:v>120.2</c:v>
                </c:pt>
                <c:pt idx="23">
                  <c:v>0.3</c:v>
                </c:pt>
                <c:pt idx="24">
                  <c:v>0.3</c:v>
                </c:pt>
                <c:pt idx="25">
                  <c:v>556.79999999999995</c:v>
                </c:pt>
                <c:pt idx="26">
                  <c:v>339.1</c:v>
                </c:pt>
                <c:pt idx="27">
                  <c:v>887.2</c:v>
                </c:pt>
                <c:pt idx="28">
                  <c:v>999</c:v>
                </c:pt>
                <c:pt idx="29">
                  <c:v>779</c:v>
                </c:pt>
                <c:pt idx="30">
                  <c:v>11.1</c:v>
                </c:pt>
                <c:pt idx="31">
                  <c:v>118.3</c:v>
                </c:pt>
                <c:pt idx="32">
                  <c:v>229.2</c:v>
                </c:pt>
                <c:pt idx="33">
                  <c:v>669.1</c:v>
                </c:pt>
                <c:pt idx="34">
                  <c:v>448.9</c:v>
                </c:pt>
                <c:pt idx="35">
                  <c:v>0.5</c:v>
                </c:pt>
              </c:numCache>
            </c:numRef>
          </c:xVal>
          <c:yVal>
            <c:numRef>
              <c:f>Ex4W!$F$4:$F$39</c:f>
              <c:numCache>
                <c:formatCode>General</c:formatCode>
                <c:ptCount val="36"/>
                <c:pt idx="0">
                  <c:v>-6.1899710169867367E-2</c:v>
                </c:pt>
                <c:pt idx="1">
                  <c:v>337.85189132632718</c:v>
                </c:pt>
                <c:pt idx="2">
                  <c:v>118.18788481624371</c:v>
                </c:pt>
                <c:pt idx="3">
                  <c:v>886.2102141471197</c:v>
                </c:pt>
                <c:pt idx="4">
                  <c:v>9.8590567882326283</c:v>
                </c:pt>
                <c:pt idx="5">
                  <c:v>226.71713620785889</c:v>
                </c:pt>
                <c:pt idx="6">
                  <c:v>667.44811277325459</c:v>
                </c:pt>
                <c:pt idx="7">
                  <c:v>998.14666272000443</c:v>
                </c:pt>
                <c:pt idx="8">
                  <c:v>449.28728149020174</c:v>
                </c:pt>
                <c:pt idx="9">
                  <c:v>778.38244452811887</c:v>
                </c:pt>
                <c:pt idx="10">
                  <c:v>559.11928474524359</c:v>
                </c:pt>
                <c:pt idx="11">
                  <c:v>0.13852365343422346</c:v>
                </c:pt>
                <c:pt idx="12">
                  <c:v>0.33894701703831426</c:v>
                </c:pt>
                <c:pt idx="13">
                  <c:v>776.87926930108813</c:v>
                </c:pt>
                <c:pt idx="14">
                  <c:v>668.04938286406684</c:v>
                </c:pt>
                <c:pt idx="15">
                  <c:v>338.45316141713948</c:v>
                </c:pt>
                <c:pt idx="16">
                  <c:v>448.1849529903792</c:v>
                </c:pt>
                <c:pt idx="17">
                  <c:v>11.362232015263309</c:v>
                </c:pt>
                <c:pt idx="18">
                  <c:v>556.91462774559852</c:v>
                </c:pt>
                <c:pt idx="19">
                  <c:v>228.32052311669162</c:v>
                </c:pt>
                <c:pt idx="20">
                  <c:v>997.64560431099414</c:v>
                </c:pt>
                <c:pt idx="21">
                  <c:v>889.21656460118106</c:v>
                </c:pt>
                <c:pt idx="22">
                  <c:v>120.19211845228462</c:v>
                </c:pt>
                <c:pt idx="23">
                  <c:v>3.8311971632178032E-2</c:v>
                </c:pt>
                <c:pt idx="24">
                  <c:v>3.8311971632178032E-2</c:v>
                </c:pt>
                <c:pt idx="25">
                  <c:v>557.71632120001482</c:v>
                </c:pt>
                <c:pt idx="26">
                  <c:v>339.55548991696202</c:v>
                </c:pt>
                <c:pt idx="27">
                  <c:v>888.81571787397297</c:v>
                </c:pt>
                <c:pt idx="28">
                  <c:v>1000.8523781286597</c:v>
                </c:pt>
                <c:pt idx="29">
                  <c:v>780.38667816415978</c:v>
                </c:pt>
                <c:pt idx="30">
                  <c:v>10.861173606253082</c:v>
                </c:pt>
                <c:pt idx="31">
                  <c:v>118.28809649804576</c:v>
                </c:pt>
                <c:pt idx="32">
                  <c:v>229.42285161651409</c:v>
                </c:pt>
                <c:pt idx="33">
                  <c:v>670.25403986371191</c:v>
                </c:pt>
                <c:pt idx="34">
                  <c:v>449.5879165356078</c:v>
                </c:pt>
                <c:pt idx="35">
                  <c:v>0.23873533523626883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49-4141-A50C-35C2499B3F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1717160"/>
        <c:axId val="321712064"/>
      </c:scatterChart>
      <c:valAx>
        <c:axId val="321717160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21712064"/>
        <c:crosses val="autoZero"/>
        <c:crossBetween val="midCat"/>
      </c:valAx>
      <c:valAx>
        <c:axId val="321712064"/>
        <c:scaling>
          <c:orientation val="minMax"/>
          <c:max val="1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21717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'Ex5'!$D$5:$D$11</c:f>
              <c:numCache>
                <c:formatCode>General</c:formatCode>
                <c:ptCount val="7"/>
                <c:pt idx="0">
                  <c:v>1.55</c:v>
                </c:pt>
                <c:pt idx="1">
                  <c:v>1.65</c:v>
                </c:pt>
                <c:pt idx="2">
                  <c:v>1.75</c:v>
                </c:pt>
                <c:pt idx="3">
                  <c:v>1.85</c:v>
                </c:pt>
                <c:pt idx="4">
                  <c:v>1.95</c:v>
                </c:pt>
                <c:pt idx="5">
                  <c:v>2.0499999999999998</c:v>
                </c:pt>
                <c:pt idx="6">
                  <c:v>2.15</c:v>
                </c:pt>
              </c:numCache>
            </c:numRef>
          </c:xVal>
          <c:yVal>
            <c:numRef>
              <c:f>'Ex5'!$E$5:$E$11</c:f>
              <c:numCache>
                <c:formatCode>General</c:formatCode>
                <c:ptCount val="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B3-4244-B8BF-8228CCCE354C}"/>
            </c:ext>
          </c:extLst>
        </c:ser>
        <c:ser>
          <c:idx val="1"/>
          <c:order val="1"/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'Ex5'!$A$5:$A$12</c:f>
              <c:numCache>
                <c:formatCode>General</c:formatCode>
                <c:ptCount val="8"/>
                <c:pt idx="0">
                  <c:v>1.5</c:v>
                </c:pt>
                <c:pt idx="1">
                  <c:v>1.6</c:v>
                </c:pt>
                <c:pt idx="2">
                  <c:v>1.7</c:v>
                </c:pt>
                <c:pt idx="3">
                  <c:v>1.8</c:v>
                </c:pt>
                <c:pt idx="4">
                  <c:v>1.9</c:v>
                </c:pt>
                <c:pt idx="5">
                  <c:v>2</c:v>
                </c:pt>
                <c:pt idx="6">
                  <c:v>2.1</c:v>
                </c:pt>
                <c:pt idx="7">
                  <c:v>2.2000000000000002</c:v>
                </c:pt>
              </c:numCache>
            </c:numRef>
          </c:xVal>
          <c:yVal>
            <c:numRef>
              <c:f>'Ex5'!$B$5:$B$12</c:f>
              <c:numCache>
                <c:formatCode>General</c:formatCode>
                <c:ptCount val="8"/>
                <c:pt idx="0">
                  <c:v>0.40546510810816438</c:v>
                </c:pt>
                <c:pt idx="1">
                  <c:v>0.47000362924573563</c:v>
                </c:pt>
                <c:pt idx="2">
                  <c:v>0.53062825106217038</c:v>
                </c:pt>
                <c:pt idx="3">
                  <c:v>0.58778666490211906</c:v>
                </c:pt>
                <c:pt idx="4">
                  <c:v>0.64185388617239469</c:v>
                </c:pt>
                <c:pt idx="5">
                  <c:v>0.69314718055994529</c:v>
                </c:pt>
                <c:pt idx="6">
                  <c:v>0.74193734472937733</c:v>
                </c:pt>
                <c:pt idx="7">
                  <c:v>0.78845736036427028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B3-4244-B8BF-8228CCCE35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121023"/>
        <c:axId val="575126847"/>
      </c:scatterChart>
      <c:valAx>
        <c:axId val="575121023"/>
        <c:scaling>
          <c:orientation val="minMax"/>
          <c:max val="2.2000000000000002"/>
          <c:min val="1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126847"/>
        <c:crosses val="autoZero"/>
        <c:crossBetween val="midCat"/>
      </c:valAx>
      <c:valAx>
        <c:axId val="575126847"/>
        <c:scaling>
          <c:orientation val="minMax"/>
          <c:max val="0.8"/>
          <c:min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1210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Ex5W!$E$4:$E$10</c:f>
              <c:numCache>
                <c:formatCode>General</c:formatCode>
                <c:ptCount val="7"/>
                <c:pt idx="0">
                  <c:v>1.55</c:v>
                </c:pt>
                <c:pt idx="1">
                  <c:v>1.65</c:v>
                </c:pt>
                <c:pt idx="2">
                  <c:v>1.75</c:v>
                </c:pt>
                <c:pt idx="3">
                  <c:v>1.85</c:v>
                </c:pt>
                <c:pt idx="4">
                  <c:v>1.95</c:v>
                </c:pt>
                <c:pt idx="5">
                  <c:v>2.0499999999999998</c:v>
                </c:pt>
                <c:pt idx="6">
                  <c:v>2.15</c:v>
                </c:pt>
              </c:numCache>
            </c:numRef>
          </c:xVal>
          <c:yVal>
            <c:numRef>
              <c:f>Ex5W!$F$4:$F$10</c:f>
              <c:numCache>
                <c:formatCode>General</c:formatCode>
                <c:ptCount val="7"/>
                <c:pt idx="0">
                  <c:v>0.43825258909414383</c:v>
                </c:pt>
                <c:pt idx="1">
                  <c:v>0.50077619456704325</c:v>
                </c:pt>
                <c:pt idx="2">
                  <c:v>0.55961576014919823</c:v>
                </c:pt>
                <c:pt idx="3">
                  <c:v>0.61518583766076218</c:v>
                </c:pt>
                <c:pt idx="4">
                  <c:v>0.66782940249974465</c:v>
                </c:pt>
                <c:pt idx="5">
                  <c:v>0.7178401203996736</c:v>
                </c:pt>
                <c:pt idx="6">
                  <c:v>0.76546703192544607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0E-4C98-ABFE-F5E47941AE5E}"/>
            </c:ext>
          </c:extLst>
        </c:ser>
        <c:ser>
          <c:idx val="1"/>
          <c:order val="1"/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Ex5W!$A$4:$A$11</c:f>
              <c:numCache>
                <c:formatCode>General</c:formatCode>
                <c:ptCount val="8"/>
                <c:pt idx="0">
                  <c:v>1.5</c:v>
                </c:pt>
                <c:pt idx="1">
                  <c:v>1.6</c:v>
                </c:pt>
                <c:pt idx="2">
                  <c:v>1.7</c:v>
                </c:pt>
                <c:pt idx="3">
                  <c:v>1.8</c:v>
                </c:pt>
                <c:pt idx="4">
                  <c:v>1.9</c:v>
                </c:pt>
                <c:pt idx="5">
                  <c:v>2</c:v>
                </c:pt>
                <c:pt idx="6">
                  <c:v>2.1</c:v>
                </c:pt>
                <c:pt idx="7">
                  <c:v>2.2000000000000002</c:v>
                </c:pt>
              </c:numCache>
            </c:numRef>
          </c:xVal>
          <c:yVal>
            <c:numRef>
              <c:f>Ex5W!$B$4:$B$11</c:f>
              <c:numCache>
                <c:formatCode>General</c:formatCode>
                <c:ptCount val="8"/>
                <c:pt idx="0">
                  <c:v>0.40546510810816438</c:v>
                </c:pt>
                <c:pt idx="1">
                  <c:v>0.47000362924573563</c:v>
                </c:pt>
                <c:pt idx="2">
                  <c:v>0.53062825106217038</c:v>
                </c:pt>
                <c:pt idx="3">
                  <c:v>0.58778666490211906</c:v>
                </c:pt>
                <c:pt idx="4">
                  <c:v>0.64185388617239469</c:v>
                </c:pt>
                <c:pt idx="5">
                  <c:v>0.69314718055994529</c:v>
                </c:pt>
                <c:pt idx="6">
                  <c:v>0.74193734472937733</c:v>
                </c:pt>
                <c:pt idx="7">
                  <c:v>0.78845736036427028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F0E-4C98-ABFE-F5E47941AE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121023"/>
        <c:axId val="575126847"/>
      </c:scatterChart>
      <c:valAx>
        <c:axId val="575121023"/>
        <c:scaling>
          <c:orientation val="minMax"/>
          <c:max val="2.2000000000000002"/>
          <c:min val="1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126847"/>
        <c:crosses val="autoZero"/>
        <c:crossBetween val="midCat"/>
      </c:valAx>
      <c:valAx>
        <c:axId val="575126847"/>
        <c:scaling>
          <c:orientation val="minMax"/>
          <c:max val="0.8"/>
          <c:min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1210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'Ex7'!$A$5:$A$13</c:f>
              <c:numCache>
                <c:formatCode>General</c:formatCode>
                <c:ptCount val="9"/>
                <c:pt idx="0">
                  <c:v>-4</c:v>
                </c:pt>
                <c:pt idx="1">
                  <c:v>-3</c:v>
                </c:pt>
                <c:pt idx="2">
                  <c:v>-2</c:v>
                </c:pt>
                <c:pt idx="3">
                  <c:v>-1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3</c:v>
                </c:pt>
                <c:pt idx="8">
                  <c:v>4</c:v>
                </c:pt>
              </c:numCache>
            </c:numRef>
          </c:xVal>
          <c:yVal>
            <c:numRef>
              <c:f>'Ex7'!$B$5:$B$13</c:f>
              <c:numCache>
                <c:formatCode>General</c:formatCode>
                <c:ptCount val="9"/>
                <c:pt idx="0">
                  <c:v>-61</c:v>
                </c:pt>
                <c:pt idx="1">
                  <c:v>-26</c:v>
                </c:pt>
                <c:pt idx="2">
                  <c:v>-9</c:v>
                </c:pt>
                <c:pt idx="3">
                  <c:v>-4</c:v>
                </c:pt>
                <c:pt idx="4">
                  <c:v>-5</c:v>
                </c:pt>
                <c:pt idx="5">
                  <c:v>-6</c:v>
                </c:pt>
                <c:pt idx="6">
                  <c:v>-1</c:v>
                </c:pt>
                <c:pt idx="7">
                  <c:v>16</c:v>
                </c:pt>
                <c:pt idx="8">
                  <c:v>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2FC-4A11-A19D-0E6DFDB07E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4029456"/>
        <c:axId val="954030000"/>
      </c:scatterChart>
      <c:valAx>
        <c:axId val="954029456"/>
        <c:scaling>
          <c:orientation val="minMax"/>
          <c:max val="4"/>
          <c:min val="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54030000"/>
        <c:crosses val="autoZero"/>
        <c:crossBetween val="midCat"/>
      </c:valAx>
      <c:valAx>
        <c:axId val="95403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54029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'Ex9'!$A$5:$A$13</c:f>
              <c:numCache>
                <c:formatCode>General</c:formatCode>
                <c:ptCount val="9"/>
                <c:pt idx="0">
                  <c:v>-2</c:v>
                </c:pt>
                <c:pt idx="1">
                  <c:v>-1.5</c:v>
                </c:pt>
                <c:pt idx="2">
                  <c:v>-1</c:v>
                </c:pt>
                <c:pt idx="3">
                  <c:v>-0.5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</c:numCache>
            </c:numRef>
          </c:xVal>
          <c:yVal>
            <c:numRef>
              <c:f>'Ex9'!$B$5:$B$13</c:f>
              <c:numCache>
                <c:formatCode>General</c:formatCode>
                <c:ptCount val="9"/>
                <c:pt idx="0">
                  <c:v>-9</c:v>
                </c:pt>
                <c:pt idx="1">
                  <c:v>-5.375</c:v>
                </c:pt>
                <c:pt idx="2">
                  <c:v>-4</c:v>
                </c:pt>
                <c:pt idx="3">
                  <c:v>-4.125</c:v>
                </c:pt>
                <c:pt idx="4">
                  <c:v>-5</c:v>
                </c:pt>
                <c:pt idx="5">
                  <c:v>-5.875</c:v>
                </c:pt>
                <c:pt idx="6">
                  <c:v>-6</c:v>
                </c:pt>
                <c:pt idx="7">
                  <c:v>-4.625</c:v>
                </c:pt>
                <c:pt idx="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917-4831-BE1A-3297324369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4029456"/>
        <c:axId val="954030000"/>
      </c:scatterChart>
      <c:valAx>
        <c:axId val="954029456"/>
        <c:scaling>
          <c:orientation val="minMax"/>
          <c:max val="2"/>
          <c:min val="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54030000"/>
        <c:crosses val="autoZero"/>
        <c:crossBetween val="midCat"/>
      </c:valAx>
      <c:valAx>
        <c:axId val="95403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54029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'Ex13'!$A$4:$A$1003</c:f>
              <c:numCache>
                <c:formatCode>General</c:formatCode>
                <c:ptCount val="1000"/>
                <c:pt idx="0">
                  <c:v>0</c:v>
                </c:pt>
                <c:pt idx="1">
                  <c:v>5.0000000000000002E-5</c:v>
                </c:pt>
                <c:pt idx="2">
                  <c:v>1E-4</c:v>
                </c:pt>
                <c:pt idx="3">
                  <c:v>1.5000000000000001E-4</c:v>
                </c:pt>
                <c:pt idx="4">
                  <c:v>2.0000000000000001E-4</c:v>
                </c:pt>
                <c:pt idx="5">
                  <c:v>2.5000000000000001E-4</c:v>
                </c:pt>
                <c:pt idx="6">
                  <c:v>3.0000000000000003E-4</c:v>
                </c:pt>
                <c:pt idx="7">
                  <c:v>3.5000000000000005E-4</c:v>
                </c:pt>
                <c:pt idx="8">
                  <c:v>4.0000000000000007E-4</c:v>
                </c:pt>
                <c:pt idx="9">
                  <c:v>4.500000000000001E-4</c:v>
                </c:pt>
                <c:pt idx="10">
                  <c:v>5.0000000000000012E-4</c:v>
                </c:pt>
                <c:pt idx="11">
                  <c:v>5.5000000000000014E-4</c:v>
                </c:pt>
                <c:pt idx="12">
                  <c:v>6.0000000000000016E-4</c:v>
                </c:pt>
                <c:pt idx="13">
                  <c:v>6.5000000000000019E-4</c:v>
                </c:pt>
                <c:pt idx="14">
                  <c:v>7.0000000000000021E-4</c:v>
                </c:pt>
                <c:pt idx="15">
                  <c:v>7.5000000000000023E-4</c:v>
                </c:pt>
                <c:pt idx="16">
                  <c:v>8.0000000000000026E-4</c:v>
                </c:pt>
                <c:pt idx="17">
                  <c:v>8.5000000000000028E-4</c:v>
                </c:pt>
                <c:pt idx="18">
                  <c:v>9.000000000000003E-4</c:v>
                </c:pt>
                <c:pt idx="19">
                  <c:v>9.5000000000000032E-4</c:v>
                </c:pt>
                <c:pt idx="20">
                  <c:v>1.0000000000000002E-3</c:v>
                </c:pt>
                <c:pt idx="21">
                  <c:v>1.0500000000000002E-3</c:v>
                </c:pt>
                <c:pt idx="22">
                  <c:v>1.1000000000000001E-3</c:v>
                </c:pt>
                <c:pt idx="23">
                  <c:v>1.15E-3</c:v>
                </c:pt>
                <c:pt idx="24">
                  <c:v>1.1999999999999999E-3</c:v>
                </c:pt>
                <c:pt idx="25">
                  <c:v>1.2499999999999998E-3</c:v>
                </c:pt>
                <c:pt idx="26">
                  <c:v>1.2999999999999997E-3</c:v>
                </c:pt>
                <c:pt idx="27">
                  <c:v>1.3499999999999996E-3</c:v>
                </c:pt>
                <c:pt idx="28">
                  <c:v>1.3999999999999996E-3</c:v>
                </c:pt>
                <c:pt idx="29">
                  <c:v>1.4499999999999995E-3</c:v>
                </c:pt>
                <c:pt idx="30">
                  <c:v>1.4999999999999994E-3</c:v>
                </c:pt>
                <c:pt idx="31">
                  <c:v>1.5499999999999993E-3</c:v>
                </c:pt>
                <c:pt idx="32">
                  <c:v>1.5999999999999992E-3</c:v>
                </c:pt>
                <c:pt idx="33">
                  <c:v>1.6499999999999991E-3</c:v>
                </c:pt>
                <c:pt idx="34">
                  <c:v>1.699999999999999E-3</c:v>
                </c:pt>
                <c:pt idx="35">
                  <c:v>1.749999999999999E-3</c:v>
                </c:pt>
                <c:pt idx="36">
                  <c:v>1.7999999999999989E-3</c:v>
                </c:pt>
                <c:pt idx="37">
                  <c:v>1.8499999999999988E-3</c:v>
                </c:pt>
                <c:pt idx="38">
                  <c:v>1.8999999999999987E-3</c:v>
                </c:pt>
                <c:pt idx="39">
                  <c:v>1.9499999999999986E-3</c:v>
                </c:pt>
                <c:pt idx="40">
                  <c:v>1.9999999999999987E-3</c:v>
                </c:pt>
                <c:pt idx="41">
                  <c:v>2.0499999999999989E-3</c:v>
                </c:pt>
                <c:pt idx="42">
                  <c:v>2.099999999999999E-3</c:v>
                </c:pt>
                <c:pt idx="43">
                  <c:v>2.1499999999999991E-3</c:v>
                </c:pt>
                <c:pt idx="44">
                  <c:v>2.1999999999999993E-3</c:v>
                </c:pt>
                <c:pt idx="45">
                  <c:v>2.2499999999999994E-3</c:v>
                </c:pt>
                <c:pt idx="46">
                  <c:v>2.2999999999999995E-3</c:v>
                </c:pt>
                <c:pt idx="47">
                  <c:v>2.3499999999999997E-3</c:v>
                </c:pt>
                <c:pt idx="48">
                  <c:v>2.3999999999999998E-3</c:v>
                </c:pt>
                <c:pt idx="49">
                  <c:v>2.4499999999999999E-3</c:v>
                </c:pt>
                <c:pt idx="50">
                  <c:v>2.5000000000000001E-3</c:v>
                </c:pt>
                <c:pt idx="51">
                  <c:v>2.5500000000000002E-3</c:v>
                </c:pt>
                <c:pt idx="52">
                  <c:v>2.6000000000000003E-3</c:v>
                </c:pt>
                <c:pt idx="53">
                  <c:v>2.6500000000000004E-3</c:v>
                </c:pt>
                <c:pt idx="54">
                  <c:v>2.7000000000000006E-3</c:v>
                </c:pt>
                <c:pt idx="55">
                  <c:v>2.7500000000000007E-3</c:v>
                </c:pt>
                <c:pt idx="56">
                  <c:v>2.8000000000000008E-3</c:v>
                </c:pt>
                <c:pt idx="57">
                  <c:v>2.850000000000001E-3</c:v>
                </c:pt>
                <c:pt idx="58">
                  <c:v>2.9000000000000011E-3</c:v>
                </c:pt>
                <c:pt idx="59">
                  <c:v>2.9500000000000012E-3</c:v>
                </c:pt>
                <c:pt idx="60">
                  <c:v>3.0000000000000014E-3</c:v>
                </c:pt>
                <c:pt idx="61">
                  <c:v>3.0500000000000015E-3</c:v>
                </c:pt>
                <c:pt idx="62">
                  <c:v>3.1000000000000016E-3</c:v>
                </c:pt>
                <c:pt idx="63">
                  <c:v>3.1500000000000018E-3</c:v>
                </c:pt>
                <c:pt idx="64">
                  <c:v>3.2000000000000019E-3</c:v>
                </c:pt>
                <c:pt idx="65">
                  <c:v>3.250000000000002E-3</c:v>
                </c:pt>
                <c:pt idx="66">
                  <c:v>3.3000000000000022E-3</c:v>
                </c:pt>
                <c:pt idx="67">
                  <c:v>3.3500000000000023E-3</c:v>
                </c:pt>
                <c:pt idx="68">
                  <c:v>3.4000000000000024E-3</c:v>
                </c:pt>
                <c:pt idx="69">
                  <c:v>3.4500000000000025E-3</c:v>
                </c:pt>
                <c:pt idx="70">
                  <c:v>3.5000000000000027E-3</c:v>
                </c:pt>
                <c:pt idx="71">
                  <c:v>3.5500000000000028E-3</c:v>
                </c:pt>
                <c:pt idx="72">
                  <c:v>3.6000000000000029E-3</c:v>
                </c:pt>
                <c:pt idx="73">
                  <c:v>3.6500000000000031E-3</c:v>
                </c:pt>
                <c:pt idx="74">
                  <c:v>3.7000000000000032E-3</c:v>
                </c:pt>
                <c:pt idx="75">
                  <c:v>3.7500000000000033E-3</c:v>
                </c:pt>
                <c:pt idx="76">
                  <c:v>3.8000000000000035E-3</c:v>
                </c:pt>
                <c:pt idx="77">
                  <c:v>3.8500000000000036E-3</c:v>
                </c:pt>
                <c:pt idx="78">
                  <c:v>3.9000000000000037E-3</c:v>
                </c:pt>
                <c:pt idx="79">
                  <c:v>3.9500000000000039E-3</c:v>
                </c:pt>
                <c:pt idx="80">
                  <c:v>4.0000000000000036E-3</c:v>
                </c:pt>
                <c:pt idx="81">
                  <c:v>4.0500000000000033E-3</c:v>
                </c:pt>
                <c:pt idx="82">
                  <c:v>4.1000000000000029E-3</c:v>
                </c:pt>
                <c:pt idx="83">
                  <c:v>4.1500000000000026E-3</c:v>
                </c:pt>
                <c:pt idx="84">
                  <c:v>4.2000000000000023E-3</c:v>
                </c:pt>
                <c:pt idx="85">
                  <c:v>4.250000000000002E-3</c:v>
                </c:pt>
                <c:pt idx="86">
                  <c:v>4.3000000000000017E-3</c:v>
                </c:pt>
                <c:pt idx="87">
                  <c:v>4.3500000000000014E-3</c:v>
                </c:pt>
                <c:pt idx="88">
                  <c:v>4.4000000000000011E-3</c:v>
                </c:pt>
                <c:pt idx="89">
                  <c:v>4.4500000000000008E-3</c:v>
                </c:pt>
                <c:pt idx="90">
                  <c:v>4.5000000000000005E-3</c:v>
                </c:pt>
                <c:pt idx="91">
                  <c:v>4.5500000000000002E-3</c:v>
                </c:pt>
                <c:pt idx="92">
                  <c:v>4.5999999999999999E-3</c:v>
                </c:pt>
                <c:pt idx="93">
                  <c:v>4.6499999999999996E-3</c:v>
                </c:pt>
                <c:pt idx="94">
                  <c:v>4.6999999999999993E-3</c:v>
                </c:pt>
                <c:pt idx="95">
                  <c:v>4.749999999999999E-3</c:v>
                </c:pt>
                <c:pt idx="96">
                  <c:v>4.7999999999999987E-3</c:v>
                </c:pt>
                <c:pt idx="97">
                  <c:v>4.8499999999999984E-3</c:v>
                </c:pt>
                <c:pt idx="98">
                  <c:v>4.8999999999999981E-3</c:v>
                </c:pt>
                <c:pt idx="99">
                  <c:v>4.9499999999999978E-3</c:v>
                </c:pt>
                <c:pt idx="100">
                  <c:v>4.9999999999999975E-3</c:v>
                </c:pt>
                <c:pt idx="101">
                  <c:v>5.0499999999999972E-3</c:v>
                </c:pt>
                <c:pt idx="102">
                  <c:v>5.0999999999999969E-3</c:v>
                </c:pt>
                <c:pt idx="103">
                  <c:v>5.1499999999999966E-3</c:v>
                </c:pt>
                <c:pt idx="104">
                  <c:v>5.1999999999999963E-3</c:v>
                </c:pt>
                <c:pt idx="105">
                  <c:v>5.249999999999996E-3</c:v>
                </c:pt>
                <c:pt idx="106">
                  <c:v>5.2999999999999957E-3</c:v>
                </c:pt>
                <c:pt idx="107">
                  <c:v>5.3499999999999954E-3</c:v>
                </c:pt>
                <c:pt idx="108">
                  <c:v>5.3999999999999951E-3</c:v>
                </c:pt>
                <c:pt idx="109">
                  <c:v>5.4499999999999948E-3</c:v>
                </c:pt>
                <c:pt idx="110">
                  <c:v>5.4999999999999945E-3</c:v>
                </c:pt>
                <c:pt idx="111">
                  <c:v>5.5499999999999942E-3</c:v>
                </c:pt>
                <c:pt idx="112">
                  <c:v>5.5999999999999939E-3</c:v>
                </c:pt>
                <c:pt idx="113">
                  <c:v>5.6499999999999936E-3</c:v>
                </c:pt>
                <c:pt idx="114">
                  <c:v>5.6999999999999933E-3</c:v>
                </c:pt>
                <c:pt idx="115">
                  <c:v>5.749999999999993E-3</c:v>
                </c:pt>
                <c:pt idx="116">
                  <c:v>5.7999999999999927E-3</c:v>
                </c:pt>
                <c:pt idx="117">
                  <c:v>5.8499999999999924E-3</c:v>
                </c:pt>
                <c:pt idx="118">
                  <c:v>5.8999999999999921E-3</c:v>
                </c:pt>
                <c:pt idx="119">
                  <c:v>5.9499999999999918E-3</c:v>
                </c:pt>
                <c:pt idx="120">
                  <c:v>5.9999999999999915E-3</c:v>
                </c:pt>
                <c:pt idx="121">
                  <c:v>6.0499999999999911E-3</c:v>
                </c:pt>
                <c:pt idx="122">
                  <c:v>6.0999999999999908E-3</c:v>
                </c:pt>
                <c:pt idx="123">
                  <c:v>6.1499999999999905E-3</c:v>
                </c:pt>
                <c:pt idx="124">
                  <c:v>6.1999999999999902E-3</c:v>
                </c:pt>
                <c:pt idx="125">
                  <c:v>6.2499999999999899E-3</c:v>
                </c:pt>
                <c:pt idx="126">
                  <c:v>6.2999999999999896E-3</c:v>
                </c:pt>
                <c:pt idx="127">
                  <c:v>6.3499999999999893E-3</c:v>
                </c:pt>
                <c:pt idx="128">
                  <c:v>6.399999999999989E-3</c:v>
                </c:pt>
                <c:pt idx="129">
                  <c:v>6.4499999999999887E-3</c:v>
                </c:pt>
                <c:pt idx="130">
                  <c:v>6.4999999999999884E-3</c:v>
                </c:pt>
                <c:pt idx="131">
                  <c:v>6.5499999999999881E-3</c:v>
                </c:pt>
                <c:pt idx="132">
                  <c:v>6.5999999999999878E-3</c:v>
                </c:pt>
                <c:pt idx="133">
                  <c:v>6.6499999999999875E-3</c:v>
                </c:pt>
                <c:pt idx="134">
                  <c:v>6.6999999999999872E-3</c:v>
                </c:pt>
                <c:pt idx="135">
                  <c:v>6.7499999999999869E-3</c:v>
                </c:pt>
                <c:pt idx="136">
                  <c:v>6.7999999999999866E-3</c:v>
                </c:pt>
                <c:pt idx="137">
                  <c:v>6.8499999999999863E-3</c:v>
                </c:pt>
                <c:pt idx="138">
                  <c:v>6.899999999999986E-3</c:v>
                </c:pt>
                <c:pt idx="139">
                  <c:v>6.9499999999999857E-3</c:v>
                </c:pt>
                <c:pt idx="140">
                  <c:v>6.9999999999999854E-3</c:v>
                </c:pt>
                <c:pt idx="141">
                  <c:v>7.0499999999999851E-3</c:v>
                </c:pt>
                <c:pt idx="142">
                  <c:v>7.0999999999999848E-3</c:v>
                </c:pt>
                <c:pt idx="143">
                  <c:v>7.1499999999999845E-3</c:v>
                </c:pt>
                <c:pt idx="144">
                  <c:v>7.1999999999999842E-3</c:v>
                </c:pt>
                <c:pt idx="145">
                  <c:v>7.2499999999999839E-3</c:v>
                </c:pt>
                <c:pt idx="146">
                  <c:v>7.2999999999999836E-3</c:v>
                </c:pt>
                <c:pt idx="147">
                  <c:v>7.3499999999999833E-3</c:v>
                </c:pt>
                <c:pt idx="148">
                  <c:v>7.399999999999983E-3</c:v>
                </c:pt>
                <c:pt idx="149">
                  <c:v>7.4499999999999827E-3</c:v>
                </c:pt>
                <c:pt idx="150">
                  <c:v>7.4999999999999824E-3</c:v>
                </c:pt>
                <c:pt idx="151">
                  <c:v>7.5499999999999821E-3</c:v>
                </c:pt>
                <c:pt idx="152">
                  <c:v>7.5999999999999818E-3</c:v>
                </c:pt>
                <c:pt idx="153">
                  <c:v>7.6499999999999815E-3</c:v>
                </c:pt>
                <c:pt idx="154">
                  <c:v>7.6999999999999812E-3</c:v>
                </c:pt>
                <c:pt idx="155">
                  <c:v>7.7499999999999809E-3</c:v>
                </c:pt>
                <c:pt idx="156">
                  <c:v>7.7999999999999806E-3</c:v>
                </c:pt>
                <c:pt idx="157">
                  <c:v>7.8499999999999803E-3</c:v>
                </c:pt>
                <c:pt idx="158">
                  <c:v>7.89999999999998E-3</c:v>
                </c:pt>
                <c:pt idx="159">
                  <c:v>7.9499999999999797E-3</c:v>
                </c:pt>
                <c:pt idx="160">
                  <c:v>7.9999999999999793E-3</c:v>
                </c:pt>
                <c:pt idx="161">
                  <c:v>8.049999999999979E-3</c:v>
                </c:pt>
                <c:pt idx="162">
                  <c:v>8.0999999999999787E-3</c:v>
                </c:pt>
                <c:pt idx="163">
                  <c:v>8.1499999999999784E-3</c:v>
                </c:pt>
                <c:pt idx="164">
                  <c:v>8.1999999999999781E-3</c:v>
                </c:pt>
                <c:pt idx="165">
                  <c:v>8.2499999999999778E-3</c:v>
                </c:pt>
                <c:pt idx="166">
                  <c:v>8.2999999999999775E-3</c:v>
                </c:pt>
                <c:pt idx="167">
                  <c:v>8.3499999999999772E-3</c:v>
                </c:pt>
                <c:pt idx="168">
                  <c:v>8.3999999999999769E-3</c:v>
                </c:pt>
                <c:pt idx="169">
                  <c:v>8.4499999999999766E-3</c:v>
                </c:pt>
                <c:pt idx="170">
                  <c:v>8.4999999999999763E-3</c:v>
                </c:pt>
                <c:pt idx="171">
                  <c:v>8.549999999999976E-3</c:v>
                </c:pt>
                <c:pt idx="172">
                  <c:v>8.5999999999999757E-3</c:v>
                </c:pt>
                <c:pt idx="173">
                  <c:v>8.6499999999999754E-3</c:v>
                </c:pt>
                <c:pt idx="174">
                  <c:v>8.6999999999999751E-3</c:v>
                </c:pt>
                <c:pt idx="175">
                  <c:v>8.7499999999999748E-3</c:v>
                </c:pt>
                <c:pt idx="176">
                  <c:v>8.7999999999999745E-3</c:v>
                </c:pt>
                <c:pt idx="177">
                  <c:v>8.8499999999999742E-3</c:v>
                </c:pt>
                <c:pt idx="178">
                  <c:v>8.8999999999999739E-3</c:v>
                </c:pt>
                <c:pt idx="179">
                  <c:v>8.9499999999999736E-3</c:v>
                </c:pt>
                <c:pt idx="180">
                  <c:v>8.9999999999999733E-3</c:v>
                </c:pt>
                <c:pt idx="181">
                  <c:v>9.049999999999973E-3</c:v>
                </c:pt>
                <c:pt idx="182">
                  <c:v>9.0999999999999727E-3</c:v>
                </c:pt>
                <c:pt idx="183">
                  <c:v>9.1499999999999724E-3</c:v>
                </c:pt>
                <c:pt idx="184">
                  <c:v>9.1999999999999721E-3</c:v>
                </c:pt>
                <c:pt idx="185">
                  <c:v>9.2499999999999718E-3</c:v>
                </c:pt>
                <c:pt idx="186">
                  <c:v>9.2999999999999715E-3</c:v>
                </c:pt>
                <c:pt idx="187">
                  <c:v>9.3499999999999712E-3</c:v>
                </c:pt>
                <c:pt idx="188">
                  <c:v>9.3999999999999709E-3</c:v>
                </c:pt>
                <c:pt idx="189">
                  <c:v>9.4499999999999706E-3</c:v>
                </c:pt>
                <c:pt idx="190">
                  <c:v>9.4999999999999703E-3</c:v>
                </c:pt>
                <c:pt idx="191">
                  <c:v>9.54999999999997E-3</c:v>
                </c:pt>
                <c:pt idx="192">
                  <c:v>9.5999999999999697E-3</c:v>
                </c:pt>
                <c:pt idx="193">
                  <c:v>9.6499999999999694E-3</c:v>
                </c:pt>
                <c:pt idx="194">
                  <c:v>9.6999999999999691E-3</c:v>
                </c:pt>
                <c:pt idx="195">
                  <c:v>9.7499999999999688E-3</c:v>
                </c:pt>
                <c:pt idx="196">
                  <c:v>9.7999999999999685E-3</c:v>
                </c:pt>
                <c:pt idx="197">
                  <c:v>9.8499999999999682E-3</c:v>
                </c:pt>
                <c:pt idx="198">
                  <c:v>9.8999999999999679E-3</c:v>
                </c:pt>
                <c:pt idx="199">
                  <c:v>9.9499999999999676E-3</c:v>
                </c:pt>
                <c:pt idx="200">
                  <c:v>9.9999999999999672E-3</c:v>
                </c:pt>
                <c:pt idx="201">
                  <c:v>1.0049999999999967E-2</c:v>
                </c:pt>
                <c:pt idx="202">
                  <c:v>1.0099999999999967E-2</c:v>
                </c:pt>
                <c:pt idx="203">
                  <c:v>1.0149999999999966E-2</c:v>
                </c:pt>
                <c:pt idx="204">
                  <c:v>1.0199999999999966E-2</c:v>
                </c:pt>
                <c:pt idx="205">
                  <c:v>1.0249999999999966E-2</c:v>
                </c:pt>
                <c:pt idx="206">
                  <c:v>1.0299999999999965E-2</c:v>
                </c:pt>
                <c:pt idx="207">
                  <c:v>1.0349999999999965E-2</c:v>
                </c:pt>
                <c:pt idx="208">
                  <c:v>1.0399999999999965E-2</c:v>
                </c:pt>
                <c:pt idx="209">
                  <c:v>1.0449999999999965E-2</c:v>
                </c:pt>
                <c:pt idx="210">
                  <c:v>1.0499999999999964E-2</c:v>
                </c:pt>
                <c:pt idx="211">
                  <c:v>1.0549999999999964E-2</c:v>
                </c:pt>
                <c:pt idx="212">
                  <c:v>1.0599999999999964E-2</c:v>
                </c:pt>
                <c:pt idx="213">
                  <c:v>1.0649999999999963E-2</c:v>
                </c:pt>
                <c:pt idx="214">
                  <c:v>1.0699999999999963E-2</c:v>
                </c:pt>
                <c:pt idx="215">
                  <c:v>1.0749999999999963E-2</c:v>
                </c:pt>
                <c:pt idx="216">
                  <c:v>1.0799999999999962E-2</c:v>
                </c:pt>
                <c:pt idx="217">
                  <c:v>1.0849999999999962E-2</c:v>
                </c:pt>
                <c:pt idx="218">
                  <c:v>1.0899999999999962E-2</c:v>
                </c:pt>
                <c:pt idx="219">
                  <c:v>1.0949999999999962E-2</c:v>
                </c:pt>
                <c:pt idx="220">
                  <c:v>1.0999999999999961E-2</c:v>
                </c:pt>
                <c:pt idx="221">
                  <c:v>1.1049999999999961E-2</c:v>
                </c:pt>
                <c:pt idx="222">
                  <c:v>1.1099999999999961E-2</c:v>
                </c:pt>
                <c:pt idx="223">
                  <c:v>1.114999999999996E-2</c:v>
                </c:pt>
                <c:pt idx="224">
                  <c:v>1.119999999999996E-2</c:v>
                </c:pt>
                <c:pt idx="225">
                  <c:v>1.124999999999996E-2</c:v>
                </c:pt>
                <c:pt idx="226">
                  <c:v>1.1299999999999959E-2</c:v>
                </c:pt>
                <c:pt idx="227">
                  <c:v>1.1349999999999959E-2</c:v>
                </c:pt>
                <c:pt idx="228">
                  <c:v>1.1399999999999959E-2</c:v>
                </c:pt>
                <c:pt idx="229">
                  <c:v>1.1449999999999958E-2</c:v>
                </c:pt>
                <c:pt idx="230">
                  <c:v>1.1499999999999958E-2</c:v>
                </c:pt>
                <c:pt idx="231">
                  <c:v>1.1549999999999958E-2</c:v>
                </c:pt>
                <c:pt idx="232">
                  <c:v>1.1599999999999958E-2</c:v>
                </c:pt>
                <c:pt idx="233">
                  <c:v>1.1649999999999957E-2</c:v>
                </c:pt>
                <c:pt idx="234">
                  <c:v>1.1699999999999957E-2</c:v>
                </c:pt>
                <c:pt idx="235">
                  <c:v>1.1749999999999957E-2</c:v>
                </c:pt>
                <c:pt idx="236">
                  <c:v>1.1799999999999956E-2</c:v>
                </c:pt>
                <c:pt idx="237">
                  <c:v>1.1849999999999956E-2</c:v>
                </c:pt>
                <c:pt idx="238">
                  <c:v>1.1899999999999956E-2</c:v>
                </c:pt>
                <c:pt idx="239">
                  <c:v>1.1949999999999955E-2</c:v>
                </c:pt>
                <c:pt idx="240">
                  <c:v>1.1999999999999955E-2</c:v>
                </c:pt>
                <c:pt idx="241">
                  <c:v>1.2049999999999955E-2</c:v>
                </c:pt>
                <c:pt idx="242">
                  <c:v>1.2099999999999955E-2</c:v>
                </c:pt>
                <c:pt idx="243">
                  <c:v>1.2149999999999954E-2</c:v>
                </c:pt>
                <c:pt idx="244">
                  <c:v>1.2199999999999954E-2</c:v>
                </c:pt>
                <c:pt idx="245">
                  <c:v>1.2249999999999954E-2</c:v>
                </c:pt>
                <c:pt idx="246">
                  <c:v>1.2299999999999953E-2</c:v>
                </c:pt>
                <c:pt idx="247">
                  <c:v>1.2349999999999953E-2</c:v>
                </c:pt>
                <c:pt idx="248">
                  <c:v>1.2399999999999953E-2</c:v>
                </c:pt>
                <c:pt idx="249">
                  <c:v>1.2449999999999952E-2</c:v>
                </c:pt>
                <c:pt idx="250">
                  <c:v>1.2499999999999952E-2</c:v>
                </c:pt>
                <c:pt idx="251">
                  <c:v>1.2549999999999952E-2</c:v>
                </c:pt>
                <c:pt idx="252">
                  <c:v>1.2599999999999952E-2</c:v>
                </c:pt>
                <c:pt idx="253">
                  <c:v>1.2649999999999951E-2</c:v>
                </c:pt>
                <c:pt idx="254">
                  <c:v>1.2699999999999951E-2</c:v>
                </c:pt>
                <c:pt idx="255">
                  <c:v>1.2749999999999951E-2</c:v>
                </c:pt>
                <c:pt idx="256">
                  <c:v>1.279999999999995E-2</c:v>
                </c:pt>
                <c:pt idx="257">
                  <c:v>1.284999999999995E-2</c:v>
                </c:pt>
                <c:pt idx="258">
                  <c:v>1.289999999999995E-2</c:v>
                </c:pt>
                <c:pt idx="259">
                  <c:v>1.2949999999999949E-2</c:v>
                </c:pt>
                <c:pt idx="260">
                  <c:v>1.2999999999999949E-2</c:v>
                </c:pt>
                <c:pt idx="261">
                  <c:v>1.3049999999999949E-2</c:v>
                </c:pt>
                <c:pt idx="262">
                  <c:v>1.3099999999999948E-2</c:v>
                </c:pt>
                <c:pt idx="263">
                  <c:v>1.3149999999999948E-2</c:v>
                </c:pt>
                <c:pt idx="264">
                  <c:v>1.3199999999999948E-2</c:v>
                </c:pt>
                <c:pt idx="265">
                  <c:v>1.3249999999999948E-2</c:v>
                </c:pt>
                <c:pt idx="266">
                  <c:v>1.3299999999999947E-2</c:v>
                </c:pt>
                <c:pt idx="267">
                  <c:v>1.3349999999999947E-2</c:v>
                </c:pt>
                <c:pt idx="268">
                  <c:v>1.3399999999999947E-2</c:v>
                </c:pt>
                <c:pt idx="269">
                  <c:v>1.3449999999999946E-2</c:v>
                </c:pt>
                <c:pt idx="270">
                  <c:v>1.3499999999999946E-2</c:v>
                </c:pt>
                <c:pt idx="271">
                  <c:v>1.3549999999999946E-2</c:v>
                </c:pt>
                <c:pt idx="272">
                  <c:v>1.3599999999999945E-2</c:v>
                </c:pt>
                <c:pt idx="273">
                  <c:v>1.3649999999999945E-2</c:v>
                </c:pt>
                <c:pt idx="274">
                  <c:v>1.3699999999999945E-2</c:v>
                </c:pt>
                <c:pt idx="275">
                  <c:v>1.3749999999999945E-2</c:v>
                </c:pt>
                <c:pt idx="276">
                  <c:v>1.3799999999999944E-2</c:v>
                </c:pt>
                <c:pt idx="277">
                  <c:v>1.3849999999999944E-2</c:v>
                </c:pt>
                <c:pt idx="278">
                  <c:v>1.3899999999999944E-2</c:v>
                </c:pt>
                <c:pt idx="279">
                  <c:v>1.3949999999999943E-2</c:v>
                </c:pt>
                <c:pt idx="280">
                  <c:v>1.3999999999999943E-2</c:v>
                </c:pt>
                <c:pt idx="281">
                  <c:v>1.4049999999999943E-2</c:v>
                </c:pt>
                <c:pt idx="282">
                  <c:v>1.4099999999999942E-2</c:v>
                </c:pt>
                <c:pt idx="283">
                  <c:v>1.4149999999999942E-2</c:v>
                </c:pt>
                <c:pt idx="284">
                  <c:v>1.4199999999999942E-2</c:v>
                </c:pt>
                <c:pt idx="285">
                  <c:v>1.4249999999999942E-2</c:v>
                </c:pt>
                <c:pt idx="286">
                  <c:v>1.4299999999999941E-2</c:v>
                </c:pt>
                <c:pt idx="287">
                  <c:v>1.4349999999999941E-2</c:v>
                </c:pt>
                <c:pt idx="288">
                  <c:v>1.4399999999999941E-2</c:v>
                </c:pt>
                <c:pt idx="289">
                  <c:v>1.444999999999994E-2</c:v>
                </c:pt>
                <c:pt idx="290">
                  <c:v>1.449999999999994E-2</c:v>
                </c:pt>
                <c:pt idx="291">
                  <c:v>1.454999999999994E-2</c:v>
                </c:pt>
                <c:pt idx="292">
                  <c:v>1.4599999999999939E-2</c:v>
                </c:pt>
                <c:pt idx="293">
                  <c:v>1.4649999999999939E-2</c:v>
                </c:pt>
                <c:pt idx="294">
                  <c:v>1.4699999999999939E-2</c:v>
                </c:pt>
                <c:pt idx="295">
                  <c:v>1.4749999999999939E-2</c:v>
                </c:pt>
                <c:pt idx="296">
                  <c:v>1.4799999999999938E-2</c:v>
                </c:pt>
                <c:pt idx="297">
                  <c:v>1.4849999999999938E-2</c:v>
                </c:pt>
                <c:pt idx="298">
                  <c:v>1.4899999999999938E-2</c:v>
                </c:pt>
                <c:pt idx="299">
                  <c:v>1.4949999999999937E-2</c:v>
                </c:pt>
                <c:pt idx="300">
                  <c:v>1.4999999999999937E-2</c:v>
                </c:pt>
                <c:pt idx="301">
                  <c:v>1.5049999999999937E-2</c:v>
                </c:pt>
                <c:pt idx="302">
                  <c:v>1.5099999999999936E-2</c:v>
                </c:pt>
                <c:pt idx="303">
                  <c:v>1.5149999999999936E-2</c:v>
                </c:pt>
                <c:pt idx="304">
                  <c:v>1.5199999999999936E-2</c:v>
                </c:pt>
                <c:pt idx="305">
                  <c:v>1.5249999999999935E-2</c:v>
                </c:pt>
                <c:pt idx="306">
                  <c:v>1.5299999999999935E-2</c:v>
                </c:pt>
                <c:pt idx="307">
                  <c:v>1.5349999999999935E-2</c:v>
                </c:pt>
                <c:pt idx="308">
                  <c:v>1.5399999999999935E-2</c:v>
                </c:pt>
                <c:pt idx="309">
                  <c:v>1.5449999999999934E-2</c:v>
                </c:pt>
                <c:pt idx="310">
                  <c:v>1.5499999999999934E-2</c:v>
                </c:pt>
                <c:pt idx="311">
                  <c:v>1.5549999999999934E-2</c:v>
                </c:pt>
                <c:pt idx="312">
                  <c:v>1.5599999999999933E-2</c:v>
                </c:pt>
                <c:pt idx="313">
                  <c:v>1.5649999999999935E-2</c:v>
                </c:pt>
                <c:pt idx="314">
                  <c:v>1.5699999999999936E-2</c:v>
                </c:pt>
                <c:pt idx="315">
                  <c:v>1.5749999999999938E-2</c:v>
                </c:pt>
                <c:pt idx="316">
                  <c:v>1.5799999999999939E-2</c:v>
                </c:pt>
                <c:pt idx="317">
                  <c:v>1.5849999999999941E-2</c:v>
                </c:pt>
                <c:pt idx="318">
                  <c:v>1.5899999999999942E-2</c:v>
                </c:pt>
                <c:pt idx="319">
                  <c:v>1.5949999999999943E-2</c:v>
                </c:pt>
                <c:pt idx="320">
                  <c:v>1.5999999999999945E-2</c:v>
                </c:pt>
                <c:pt idx="321">
                  <c:v>1.6049999999999946E-2</c:v>
                </c:pt>
                <c:pt idx="322">
                  <c:v>1.6099999999999948E-2</c:v>
                </c:pt>
                <c:pt idx="323">
                  <c:v>1.6149999999999949E-2</c:v>
                </c:pt>
                <c:pt idx="324">
                  <c:v>1.6199999999999951E-2</c:v>
                </c:pt>
                <c:pt idx="325">
                  <c:v>1.6249999999999952E-2</c:v>
                </c:pt>
                <c:pt idx="326">
                  <c:v>1.6299999999999953E-2</c:v>
                </c:pt>
                <c:pt idx="327">
                  <c:v>1.6349999999999955E-2</c:v>
                </c:pt>
                <c:pt idx="328">
                  <c:v>1.6399999999999956E-2</c:v>
                </c:pt>
                <c:pt idx="329">
                  <c:v>1.6449999999999958E-2</c:v>
                </c:pt>
                <c:pt idx="330">
                  <c:v>1.6499999999999959E-2</c:v>
                </c:pt>
                <c:pt idx="331">
                  <c:v>1.6549999999999961E-2</c:v>
                </c:pt>
                <c:pt idx="332">
                  <c:v>1.6599999999999962E-2</c:v>
                </c:pt>
                <c:pt idx="333">
                  <c:v>1.6649999999999963E-2</c:v>
                </c:pt>
                <c:pt idx="334">
                  <c:v>1.6699999999999965E-2</c:v>
                </c:pt>
                <c:pt idx="335">
                  <c:v>1.6749999999999966E-2</c:v>
                </c:pt>
                <c:pt idx="336">
                  <c:v>1.6799999999999968E-2</c:v>
                </c:pt>
                <c:pt idx="337">
                  <c:v>1.6849999999999969E-2</c:v>
                </c:pt>
                <c:pt idx="338">
                  <c:v>1.6899999999999971E-2</c:v>
                </c:pt>
                <c:pt idx="339">
                  <c:v>1.6949999999999972E-2</c:v>
                </c:pt>
                <c:pt idx="340">
                  <c:v>1.6999999999999973E-2</c:v>
                </c:pt>
                <c:pt idx="341">
                  <c:v>1.7049999999999975E-2</c:v>
                </c:pt>
                <c:pt idx="342">
                  <c:v>1.7099999999999976E-2</c:v>
                </c:pt>
                <c:pt idx="343">
                  <c:v>1.7149999999999978E-2</c:v>
                </c:pt>
                <c:pt idx="344">
                  <c:v>1.7199999999999979E-2</c:v>
                </c:pt>
                <c:pt idx="345">
                  <c:v>1.7249999999999981E-2</c:v>
                </c:pt>
                <c:pt idx="346">
                  <c:v>1.7299999999999982E-2</c:v>
                </c:pt>
                <c:pt idx="347">
                  <c:v>1.7349999999999983E-2</c:v>
                </c:pt>
                <c:pt idx="348">
                  <c:v>1.7399999999999985E-2</c:v>
                </c:pt>
                <c:pt idx="349">
                  <c:v>1.7449999999999986E-2</c:v>
                </c:pt>
                <c:pt idx="350">
                  <c:v>1.7499999999999988E-2</c:v>
                </c:pt>
                <c:pt idx="351">
                  <c:v>1.7549999999999989E-2</c:v>
                </c:pt>
                <c:pt idx="352">
                  <c:v>1.7599999999999991E-2</c:v>
                </c:pt>
                <c:pt idx="353">
                  <c:v>1.7649999999999992E-2</c:v>
                </c:pt>
                <c:pt idx="354">
                  <c:v>1.7699999999999994E-2</c:v>
                </c:pt>
                <c:pt idx="355">
                  <c:v>1.7749999999999995E-2</c:v>
                </c:pt>
                <c:pt idx="356">
                  <c:v>1.7799999999999996E-2</c:v>
                </c:pt>
                <c:pt idx="357">
                  <c:v>1.7849999999999998E-2</c:v>
                </c:pt>
                <c:pt idx="358">
                  <c:v>1.7899999999999999E-2</c:v>
                </c:pt>
                <c:pt idx="359">
                  <c:v>1.7950000000000001E-2</c:v>
                </c:pt>
                <c:pt idx="360">
                  <c:v>1.8000000000000002E-2</c:v>
                </c:pt>
                <c:pt idx="361">
                  <c:v>1.8050000000000004E-2</c:v>
                </c:pt>
                <c:pt idx="362">
                  <c:v>1.8100000000000005E-2</c:v>
                </c:pt>
                <c:pt idx="363">
                  <c:v>1.8150000000000006E-2</c:v>
                </c:pt>
                <c:pt idx="364">
                  <c:v>1.8200000000000008E-2</c:v>
                </c:pt>
                <c:pt idx="365">
                  <c:v>1.8250000000000009E-2</c:v>
                </c:pt>
                <c:pt idx="366">
                  <c:v>1.8300000000000011E-2</c:v>
                </c:pt>
                <c:pt idx="367">
                  <c:v>1.8350000000000012E-2</c:v>
                </c:pt>
                <c:pt idx="368">
                  <c:v>1.8400000000000014E-2</c:v>
                </c:pt>
                <c:pt idx="369">
                  <c:v>1.8450000000000015E-2</c:v>
                </c:pt>
                <c:pt idx="370">
                  <c:v>1.8500000000000016E-2</c:v>
                </c:pt>
                <c:pt idx="371">
                  <c:v>1.8550000000000018E-2</c:v>
                </c:pt>
                <c:pt idx="372">
                  <c:v>1.8600000000000019E-2</c:v>
                </c:pt>
                <c:pt idx="373">
                  <c:v>1.8650000000000021E-2</c:v>
                </c:pt>
                <c:pt idx="374">
                  <c:v>1.8700000000000022E-2</c:v>
                </c:pt>
                <c:pt idx="375">
                  <c:v>1.8750000000000024E-2</c:v>
                </c:pt>
                <c:pt idx="376">
                  <c:v>1.8800000000000025E-2</c:v>
                </c:pt>
                <c:pt idx="377">
                  <c:v>1.8850000000000026E-2</c:v>
                </c:pt>
                <c:pt idx="378">
                  <c:v>1.8900000000000028E-2</c:v>
                </c:pt>
                <c:pt idx="379">
                  <c:v>1.8950000000000029E-2</c:v>
                </c:pt>
                <c:pt idx="380">
                  <c:v>1.9000000000000031E-2</c:v>
                </c:pt>
                <c:pt idx="381">
                  <c:v>1.9050000000000032E-2</c:v>
                </c:pt>
                <c:pt idx="382">
                  <c:v>1.9100000000000034E-2</c:v>
                </c:pt>
                <c:pt idx="383">
                  <c:v>1.9150000000000035E-2</c:v>
                </c:pt>
                <c:pt idx="384">
                  <c:v>1.9200000000000036E-2</c:v>
                </c:pt>
                <c:pt idx="385">
                  <c:v>1.9250000000000038E-2</c:v>
                </c:pt>
                <c:pt idx="386">
                  <c:v>1.9300000000000039E-2</c:v>
                </c:pt>
                <c:pt idx="387">
                  <c:v>1.9350000000000041E-2</c:v>
                </c:pt>
                <c:pt idx="388">
                  <c:v>1.9400000000000042E-2</c:v>
                </c:pt>
                <c:pt idx="389">
                  <c:v>1.9450000000000044E-2</c:v>
                </c:pt>
                <c:pt idx="390">
                  <c:v>1.9500000000000045E-2</c:v>
                </c:pt>
                <c:pt idx="391">
                  <c:v>1.9550000000000047E-2</c:v>
                </c:pt>
                <c:pt idx="392">
                  <c:v>1.9600000000000048E-2</c:v>
                </c:pt>
                <c:pt idx="393">
                  <c:v>1.9650000000000049E-2</c:v>
                </c:pt>
                <c:pt idx="394">
                  <c:v>1.9700000000000051E-2</c:v>
                </c:pt>
                <c:pt idx="395">
                  <c:v>1.9750000000000052E-2</c:v>
                </c:pt>
                <c:pt idx="396">
                  <c:v>1.9800000000000054E-2</c:v>
                </c:pt>
                <c:pt idx="397">
                  <c:v>1.9850000000000055E-2</c:v>
                </c:pt>
                <c:pt idx="398">
                  <c:v>1.9900000000000057E-2</c:v>
                </c:pt>
                <c:pt idx="399">
                  <c:v>1.9950000000000058E-2</c:v>
                </c:pt>
                <c:pt idx="400">
                  <c:v>2.0000000000000059E-2</c:v>
                </c:pt>
                <c:pt idx="401">
                  <c:v>2.0050000000000061E-2</c:v>
                </c:pt>
                <c:pt idx="402">
                  <c:v>2.0100000000000062E-2</c:v>
                </c:pt>
                <c:pt idx="403">
                  <c:v>2.0150000000000064E-2</c:v>
                </c:pt>
                <c:pt idx="404">
                  <c:v>2.0200000000000065E-2</c:v>
                </c:pt>
                <c:pt idx="405">
                  <c:v>2.0250000000000067E-2</c:v>
                </c:pt>
                <c:pt idx="406">
                  <c:v>2.0300000000000068E-2</c:v>
                </c:pt>
                <c:pt idx="407">
                  <c:v>2.0350000000000069E-2</c:v>
                </c:pt>
                <c:pt idx="408">
                  <c:v>2.0400000000000071E-2</c:v>
                </c:pt>
                <c:pt idx="409">
                  <c:v>2.0450000000000072E-2</c:v>
                </c:pt>
                <c:pt idx="410">
                  <c:v>2.0500000000000074E-2</c:v>
                </c:pt>
                <c:pt idx="411">
                  <c:v>2.0550000000000075E-2</c:v>
                </c:pt>
                <c:pt idx="412">
                  <c:v>2.0600000000000077E-2</c:v>
                </c:pt>
                <c:pt idx="413">
                  <c:v>2.0650000000000078E-2</c:v>
                </c:pt>
                <c:pt idx="414">
                  <c:v>2.0700000000000079E-2</c:v>
                </c:pt>
                <c:pt idx="415">
                  <c:v>2.0750000000000081E-2</c:v>
                </c:pt>
                <c:pt idx="416">
                  <c:v>2.0800000000000082E-2</c:v>
                </c:pt>
                <c:pt idx="417">
                  <c:v>2.0850000000000084E-2</c:v>
                </c:pt>
                <c:pt idx="418">
                  <c:v>2.0900000000000085E-2</c:v>
                </c:pt>
                <c:pt idx="419">
                  <c:v>2.0950000000000087E-2</c:v>
                </c:pt>
                <c:pt idx="420">
                  <c:v>2.1000000000000088E-2</c:v>
                </c:pt>
                <c:pt idx="421">
                  <c:v>2.1050000000000089E-2</c:v>
                </c:pt>
                <c:pt idx="422">
                  <c:v>2.1100000000000091E-2</c:v>
                </c:pt>
                <c:pt idx="423">
                  <c:v>2.1150000000000092E-2</c:v>
                </c:pt>
                <c:pt idx="424">
                  <c:v>2.1200000000000094E-2</c:v>
                </c:pt>
                <c:pt idx="425">
                  <c:v>2.1250000000000095E-2</c:v>
                </c:pt>
                <c:pt idx="426">
                  <c:v>2.1300000000000097E-2</c:v>
                </c:pt>
                <c:pt idx="427">
                  <c:v>2.1350000000000098E-2</c:v>
                </c:pt>
                <c:pt idx="428">
                  <c:v>2.1400000000000099E-2</c:v>
                </c:pt>
                <c:pt idx="429">
                  <c:v>2.1450000000000101E-2</c:v>
                </c:pt>
                <c:pt idx="430">
                  <c:v>2.1500000000000102E-2</c:v>
                </c:pt>
                <c:pt idx="431">
                  <c:v>2.1550000000000104E-2</c:v>
                </c:pt>
                <c:pt idx="432">
                  <c:v>2.1600000000000105E-2</c:v>
                </c:pt>
                <c:pt idx="433">
                  <c:v>2.1650000000000107E-2</c:v>
                </c:pt>
                <c:pt idx="434">
                  <c:v>2.1700000000000108E-2</c:v>
                </c:pt>
                <c:pt idx="435">
                  <c:v>2.175000000000011E-2</c:v>
                </c:pt>
                <c:pt idx="436">
                  <c:v>2.1800000000000111E-2</c:v>
                </c:pt>
                <c:pt idx="437">
                  <c:v>2.1850000000000112E-2</c:v>
                </c:pt>
                <c:pt idx="438">
                  <c:v>2.1900000000000114E-2</c:v>
                </c:pt>
                <c:pt idx="439">
                  <c:v>2.1950000000000115E-2</c:v>
                </c:pt>
                <c:pt idx="440">
                  <c:v>2.2000000000000117E-2</c:v>
                </c:pt>
                <c:pt idx="441">
                  <c:v>2.2050000000000118E-2</c:v>
                </c:pt>
                <c:pt idx="442">
                  <c:v>2.210000000000012E-2</c:v>
                </c:pt>
                <c:pt idx="443">
                  <c:v>2.2150000000000121E-2</c:v>
                </c:pt>
                <c:pt idx="444">
                  <c:v>2.2200000000000122E-2</c:v>
                </c:pt>
                <c:pt idx="445">
                  <c:v>2.2250000000000124E-2</c:v>
                </c:pt>
                <c:pt idx="446">
                  <c:v>2.2300000000000125E-2</c:v>
                </c:pt>
                <c:pt idx="447">
                  <c:v>2.2350000000000127E-2</c:v>
                </c:pt>
                <c:pt idx="448">
                  <c:v>2.2400000000000128E-2</c:v>
                </c:pt>
                <c:pt idx="449">
                  <c:v>2.245000000000013E-2</c:v>
                </c:pt>
                <c:pt idx="450">
                  <c:v>2.2500000000000131E-2</c:v>
                </c:pt>
                <c:pt idx="451">
                  <c:v>2.2550000000000132E-2</c:v>
                </c:pt>
                <c:pt idx="452">
                  <c:v>2.2600000000000134E-2</c:v>
                </c:pt>
                <c:pt idx="453">
                  <c:v>2.2650000000000135E-2</c:v>
                </c:pt>
                <c:pt idx="454">
                  <c:v>2.2700000000000137E-2</c:v>
                </c:pt>
                <c:pt idx="455">
                  <c:v>2.2750000000000138E-2</c:v>
                </c:pt>
                <c:pt idx="456">
                  <c:v>2.280000000000014E-2</c:v>
                </c:pt>
                <c:pt idx="457">
                  <c:v>2.2850000000000141E-2</c:v>
                </c:pt>
                <c:pt idx="458">
                  <c:v>2.2900000000000142E-2</c:v>
                </c:pt>
                <c:pt idx="459">
                  <c:v>2.2950000000000144E-2</c:v>
                </c:pt>
                <c:pt idx="460">
                  <c:v>2.3000000000000145E-2</c:v>
                </c:pt>
                <c:pt idx="461">
                  <c:v>2.3050000000000147E-2</c:v>
                </c:pt>
                <c:pt idx="462">
                  <c:v>2.3100000000000148E-2</c:v>
                </c:pt>
                <c:pt idx="463">
                  <c:v>2.315000000000015E-2</c:v>
                </c:pt>
                <c:pt idx="464">
                  <c:v>2.3200000000000151E-2</c:v>
                </c:pt>
                <c:pt idx="465">
                  <c:v>2.3250000000000152E-2</c:v>
                </c:pt>
                <c:pt idx="466">
                  <c:v>2.3300000000000154E-2</c:v>
                </c:pt>
                <c:pt idx="467">
                  <c:v>2.3350000000000155E-2</c:v>
                </c:pt>
                <c:pt idx="468">
                  <c:v>2.3400000000000157E-2</c:v>
                </c:pt>
                <c:pt idx="469">
                  <c:v>2.3450000000000158E-2</c:v>
                </c:pt>
                <c:pt idx="470">
                  <c:v>2.350000000000016E-2</c:v>
                </c:pt>
                <c:pt idx="471">
                  <c:v>2.3550000000000161E-2</c:v>
                </c:pt>
                <c:pt idx="472">
                  <c:v>2.3600000000000163E-2</c:v>
                </c:pt>
                <c:pt idx="473">
                  <c:v>2.3650000000000164E-2</c:v>
                </c:pt>
                <c:pt idx="474">
                  <c:v>2.3700000000000165E-2</c:v>
                </c:pt>
                <c:pt idx="475">
                  <c:v>2.3750000000000167E-2</c:v>
                </c:pt>
                <c:pt idx="476">
                  <c:v>2.3800000000000168E-2</c:v>
                </c:pt>
                <c:pt idx="477">
                  <c:v>2.385000000000017E-2</c:v>
                </c:pt>
                <c:pt idx="478">
                  <c:v>2.3900000000000171E-2</c:v>
                </c:pt>
                <c:pt idx="479">
                  <c:v>2.3950000000000173E-2</c:v>
                </c:pt>
                <c:pt idx="480">
                  <c:v>2.4000000000000174E-2</c:v>
                </c:pt>
                <c:pt idx="481">
                  <c:v>2.4050000000000175E-2</c:v>
                </c:pt>
                <c:pt idx="482">
                  <c:v>2.4100000000000177E-2</c:v>
                </c:pt>
                <c:pt idx="483">
                  <c:v>2.4150000000000178E-2</c:v>
                </c:pt>
                <c:pt idx="484">
                  <c:v>2.420000000000018E-2</c:v>
                </c:pt>
                <c:pt idx="485">
                  <c:v>2.4250000000000181E-2</c:v>
                </c:pt>
                <c:pt idx="486">
                  <c:v>2.4300000000000183E-2</c:v>
                </c:pt>
                <c:pt idx="487">
                  <c:v>2.4350000000000184E-2</c:v>
                </c:pt>
                <c:pt idx="488">
                  <c:v>2.4400000000000185E-2</c:v>
                </c:pt>
                <c:pt idx="489">
                  <c:v>2.4450000000000187E-2</c:v>
                </c:pt>
                <c:pt idx="490">
                  <c:v>2.4500000000000188E-2</c:v>
                </c:pt>
                <c:pt idx="491">
                  <c:v>2.455000000000019E-2</c:v>
                </c:pt>
                <c:pt idx="492">
                  <c:v>2.4600000000000191E-2</c:v>
                </c:pt>
                <c:pt idx="493">
                  <c:v>2.4650000000000193E-2</c:v>
                </c:pt>
                <c:pt idx="494">
                  <c:v>2.4700000000000194E-2</c:v>
                </c:pt>
                <c:pt idx="495">
                  <c:v>2.4750000000000195E-2</c:v>
                </c:pt>
                <c:pt idx="496">
                  <c:v>2.4800000000000197E-2</c:v>
                </c:pt>
                <c:pt idx="497">
                  <c:v>2.4850000000000198E-2</c:v>
                </c:pt>
                <c:pt idx="498">
                  <c:v>2.49000000000002E-2</c:v>
                </c:pt>
                <c:pt idx="499">
                  <c:v>2.4950000000000201E-2</c:v>
                </c:pt>
                <c:pt idx="500">
                  <c:v>2.5000000000000203E-2</c:v>
                </c:pt>
                <c:pt idx="501">
                  <c:v>2.5050000000000204E-2</c:v>
                </c:pt>
                <c:pt idx="502">
                  <c:v>2.5100000000000205E-2</c:v>
                </c:pt>
                <c:pt idx="503">
                  <c:v>2.5150000000000207E-2</c:v>
                </c:pt>
                <c:pt idx="504">
                  <c:v>2.5200000000000208E-2</c:v>
                </c:pt>
                <c:pt idx="505">
                  <c:v>2.525000000000021E-2</c:v>
                </c:pt>
                <c:pt idx="506">
                  <c:v>2.5300000000000211E-2</c:v>
                </c:pt>
                <c:pt idx="507">
                  <c:v>2.5350000000000213E-2</c:v>
                </c:pt>
                <c:pt idx="508">
                  <c:v>2.5400000000000214E-2</c:v>
                </c:pt>
                <c:pt idx="509">
                  <c:v>2.5450000000000216E-2</c:v>
                </c:pt>
                <c:pt idx="510">
                  <c:v>2.5500000000000217E-2</c:v>
                </c:pt>
                <c:pt idx="511">
                  <c:v>2.5550000000000218E-2</c:v>
                </c:pt>
                <c:pt idx="512">
                  <c:v>2.560000000000022E-2</c:v>
                </c:pt>
                <c:pt idx="513">
                  <c:v>2.5650000000000221E-2</c:v>
                </c:pt>
                <c:pt idx="514">
                  <c:v>2.5700000000000223E-2</c:v>
                </c:pt>
                <c:pt idx="515">
                  <c:v>2.5750000000000224E-2</c:v>
                </c:pt>
                <c:pt idx="516">
                  <c:v>2.5800000000000226E-2</c:v>
                </c:pt>
                <c:pt idx="517">
                  <c:v>2.5850000000000227E-2</c:v>
                </c:pt>
                <c:pt idx="518">
                  <c:v>2.5900000000000228E-2</c:v>
                </c:pt>
                <c:pt idx="519">
                  <c:v>2.595000000000023E-2</c:v>
                </c:pt>
                <c:pt idx="520">
                  <c:v>2.6000000000000231E-2</c:v>
                </c:pt>
                <c:pt idx="521">
                  <c:v>2.6050000000000233E-2</c:v>
                </c:pt>
                <c:pt idx="522">
                  <c:v>2.6100000000000234E-2</c:v>
                </c:pt>
                <c:pt idx="523">
                  <c:v>2.6150000000000236E-2</c:v>
                </c:pt>
                <c:pt idx="524">
                  <c:v>2.6200000000000237E-2</c:v>
                </c:pt>
                <c:pt idx="525">
                  <c:v>2.6250000000000238E-2</c:v>
                </c:pt>
                <c:pt idx="526">
                  <c:v>2.630000000000024E-2</c:v>
                </c:pt>
                <c:pt idx="527">
                  <c:v>2.6350000000000241E-2</c:v>
                </c:pt>
                <c:pt idx="528">
                  <c:v>2.6400000000000243E-2</c:v>
                </c:pt>
                <c:pt idx="529">
                  <c:v>2.6450000000000244E-2</c:v>
                </c:pt>
                <c:pt idx="530">
                  <c:v>2.6500000000000246E-2</c:v>
                </c:pt>
                <c:pt idx="531">
                  <c:v>2.6550000000000247E-2</c:v>
                </c:pt>
                <c:pt idx="532">
                  <c:v>2.6600000000000248E-2</c:v>
                </c:pt>
                <c:pt idx="533">
                  <c:v>2.665000000000025E-2</c:v>
                </c:pt>
                <c:pt idx="534">
                  <c:v>2.6700000000000251E-2</c:v>
                </c:pt>
                <c:pt idx="535">
                  <c:v>2.6750000000000253E-2</c:v>
                </c:pt>
                <c:pt idx="536">
                  <c:v>2.6800000000000254E-2</c:v>
                </c:pt>
                <c:pt idx="537">
                  <c:v>2.6850000000000256E-2</c:v>
                </c:pt>
                <c:pt idx="538">
                  <c:v>2.6900000000000257E-2</c:v>
                </c:pt>
                <c:pt idx="539">
                  <c:v>2.6950000000000258E-2</c:v>
                </c:pt>
                <c:pt idx="540">
                  <c:v>2.700000000000026E-2</c:v>
                </c:pt>
                <c:pt idx="541">
                  <c:v>2.7050000000000261E-2</c:v>
                </c:pt>
                <c:pt idx="542">
                  <c:v>2.7100000000000263E-2</c:v>
                </c:pt>
                <c:pt idx="543">
                  <c:v>2.7150000000000264E-2</c:v>
                </c:pt>
                <c:pt idx="544">
                  <c:v>2.7200000000000266E-2</c:v>
                </c:pt>
                <c:pt idx="545">
                  <c:v>2.7250000000000267E-2</c:v>
                </c:pt>
                <c:pt idx="546">
                  <c:v>2.7300000000000268E-2</c:v>
                </c:pt>
                <c:pt idx="547">
                  <c:v>2.735000000000027E-2</c:v>
                </c:pt>
                <c:pt idx="548">
                  <c:v>2.7400000000000271E-2</c:v>
                </c:pt>
                <c:pt idx="549">
                  <c:v>2.7450000000000273E-2</c:v>
                </c:pt>
                <c:pt idx="550">
                  <c:v>2.7500000000000274E-2</c:v>
                </c:pt>
                <c:pt idx="551">
                  <c:v>2.7550000000000276E-2</c:v>
                </c:pt>
                <c:pt idx="552">
                  <c:v>2.7600000000000277E-2</c:v>
                </c:pt>
                <c:pt idx="553">
                  <c:v>2.7650000000000279E-2</c:v>
                </c:pt>
                <c:pt idx="554">
                  <c:v>2.770000000000028E-2</c:v>
                </c:pt>
                <c:pt idx="555">
                  <c:v>2.7750000000000281E-2</c:v>
                </c:pt>
                <c:pt idx="556">
                  <c:v>2.7800000000000283E-2</c:v>
                </c:pt>
                <c:pt idx="557">
                  <c:v>2.7850000000000284E-2</c:v>
                </c:pt>
                <c:pt idx="558">
                  <c:v>2.7900000000000286E-2</c:v>
                </c:pt>
                <c:pt idx="559">
                  <c:v>2.7950000000000287E-2</c:v>
                </c:pt>
                <c:pt idx="560">
                  <c:v>2.8000000000000289E-2</c:v>
                </c:pt>
                <c:pt idx="561">
                  <c:v>2.805000000000029E-2</c:v>
                </c:pt>
                <c:pt idx="562">
                  <c:v>2.8100000000000291E-2</c:v>
                </c:pt>
                <c:pt idx="563">
                  <c:v>2.8150000000000293E-2</c:v>
                </c:pt>
                <c:pt idx="564">
                  <c:v>2.8200000000000294E-2</c:v>
                </c:pt>
                <c:pt idx="565">
                  <c:v>2.8250000000000296E-2</c:v>
                </c:pt>
                <c:pt idx="566">
                  <c:v>2.8300000000000297E-2</c:v>
                </c:pt>
                <c:pt idx="567">
                  <c:v>2.8350000000000299E-2</c:v>
                </c:pt>
                <c:pt idx="568">
                  <c:v>2.84000000000003E-2</c:v>
                </c:pt>
                <c:pt idx="569">
                  <c:v>2.8450000000000301E-2</c:v>
                </c:pt>
                <c:pt idx="570">
                  <c:v>2.8500000000000303E-2</c:v>
                </c:pt>
                <c:pt idx="571">
                  <c:v>2.8550000000000304E-2</c:v>
                </c:pt>
                <c:pt idx="572">
                  <c:v>2.8600000000000306E-2</c:v>
                </c:pt>
                <c:pt idx="573">
                  <c:v>2.8650000000000307E-2</c:v>
                </c:pt>
                <c:pt idx="574">
                  <c:v>2.8700000000000309E-2</c:v>
                </c:pt>
                <c:pt idx="575">
                  <c:v>2.875000000000031E-2</c:v>
                </c:pt>
                <c:pt idx="576">
                  <c:v>2.8800000000000311E-2</c:v>
                </c:pt>
                <c:pt idx="577">
                  <c:v>2.8850000000000313E-2</c:v>
                </c:pt>
                <c:pt idx="578">
                  <c:v>2.8900000000000314E-2</c:v>
                </c:pt>
                <c:pt idx="579">
                  <c:v>2.8950000000000316E-2</c:v>
                </c:pt>
                <c:pt idx="580">
                  <c:v>2.9000000000000317E-2</c:v>
                </c:pt>
                <c:pt idx="581">
                  <c:v>2.9050000000000319E-2</c:v>
                </c:pt>
                <c:pt idx="582">
                  <c:v>2.910000000000032E-2</c:v>
                </c:pt>
                <c:pt idx="583">
                  <c:v>2.9150000000000321E-2</c:v>
                </c:pt>
                <c:pt idx="584">
                  <c:v>2.9200000000000323E-2</c:v>
                </c:pt>
                <c:pt idx="585">
                  <c:v>2.9250000000000324E-2</c:v>
                </c:pt>
                <c:pt idx="586">
                  <c:v>2.9300000000000326E-2</c:v>
                </c:pt>
                <c:pt idx="587">
                  <c:v>2.9350000000000327E-2</c:v>
                </c:pt>
                <c:pt idx="588">
                  <c:v>2.9400000000000329E-2</c:v>
                </c:pt>
                <c:pt idx="589">
                  <c:v>2.945000000000033E-2</c:v>
                </c:pt>
                <c:pt idx="590">
                  <c:v>2.9500000000000332E-2</c:v>
                </c:pt>
                <c:pt idx="591">
                  <c:v>2.9550000000000333E-2</c:v>
                </c:pt>
                <c:pt idx="592">
                  <c:v>2.9600000000000334E-2</c:v>
                </c:pt>
                <c:pt idx="593">
                  <c:v>2.9650000000000336E-2</c:v>
                </c:pt>
                <c:pt idx="594">
                  <c:v>2.9700000000000337E-2</c:v>
                </c:pt>
                <c:pt idx="595">
                  <c:v>2.9750000000000339E-2</c:v>
                </c:pt>
                <c:pt idx="596">
                  <c:v>2.980000000000034E-2</c:v>
                </c:pt>
                <c:pt idx="597">
                  <c:v>2.9850000000000342E-2</c:v>
                </c:pt>
                <c:pt idx="598">
                  <c:v>2.9900000000000343E-2</c:v>
                </c:pt>
                <c:pt idx="599">
                  <c:v>2.9950000000000344E-2</c:v>
                </c:pt>
                <c:pt idx="600">
                  <c:v>3.0000000000000346E-2</c:v>
                </c:pt>
                <c:pt idx="601">
                  <c:v>3.0050000000000347E-2</c:v>
                </c:pt>
                <c:pt idx="602">
                  <c:v>3.0100000000000349E-2</c:v>
                </c:pt>
                <c:pt idx="603">
                  <c:v>3.015000000000035E-2</c:v>
                </c:pt>
                <c:pt idx="604">
                  <c:v>3.0200000000000352E-2</c:v>
                </c:pt>
                <c:pt idx="605">
                  <c:v>3.0250000000000353E-2</c:v>
                </c:pt>
                <c:pt idx="606">
                  <c:v>3.0300000000000354E-2</c:v>
                </c:pt>
                <c:pt idx="607">
                  <c:v>3.0350000000000356E-2</c:v>
                </c:pt>
                <c:pt idx="608">
                  <c:v>3.0400000000000357E-2</c:v>
                </c:pt>
                <c:pt idx="609">
                  <c:v>3.0450000000000359E-2</c:v>
                </c:pt>
                <c:pt idx="610">
                  <c:v>3.050000000000036E-2</c:v>
                </c:pt>
                <c:pt idx="611">
                  <c:v>3.0550000000000362E-2</c:v>
                </c:pt>
                <c:pt idx="612">
                  <c:v>3.0600000000000363E-2</c:v>
                </c:pt>
                <c:pt idx="613">
                  <c:v>3.0650000000000364E-2</c:v>
                </c:pt>
                <c:pt idx="614">
                  <c:v>3.0700000000000366E-2</c:v>
                </c:pt>
                <c:pt idx="615">
                  <c:v>3.0750000000000367E-2</c:v>
                </c:pt>
                <c:pt idx="616">
                  <c:v>3.0800000000000369E-2</c:v>
                </c:pt>
                <c:pt idx="617">
                  <c:v>3.085000000000037E-2</c:v>
                </c:pt>
                <c:pt idx="618">
                  <c:v>3.0900000000000372E-2</c:v>
                </c:pt>
                <c:pt idx="619">
                  <c:v>3.0950000000000373E-2</c:v>
                </c:pt>
                <c:pt idx="620">
                  <c:v>3.1000000000000374E-2</c:v>
                </c:pt>
                <c:pt idx="621">
                  <c:v>3.1050000000000376E-2</c:v>
                </c:pt>
                <c:pt idx="622">
                  <c:v>3.1100000000000377E-2</c:v>
                </c:pt>
                <c:pt idx="623">
                  <c:v>3.1150000000000379E-2</c:v>
                </c:pt>
                <c:pt idx="624">
                  <c:v>3.120000000000038E-2</c:v>
                </c:pt>
                <c:pt idx="625">
                  <c:v>3.1250000000000382E-2</c:v>
                </c:pt>
                <c:pt idx="626">
                  <c:v>3.1300000000000383E-2</c:v>
                </c:pt>
                <c:pt idx="627">
                  <c:v>3.1350000000000385E-2</c:v>
                </c:pt>
                <c:pt idx="628">
                  <c:v>3.1400000000000386E-2</c:v>
                </c:pt>
                <c:pt idx="629">
                  <c:v>3.1450000000000387E-2</c:v>
                </c:pt>
                <c:pt idx="630">
                  <c:v>3.1500000000000389E-2</c:v>
                </c:pt>
                <c:pt idx="631">
                  <c:v>3.155000000000039E-2</c:v>
                </c:pt>
                <c:pt idx="632">
                  <c:v>3.1600000000000392E-2</c:v>
                </c:pt>
                <c:pt idx="633">
                  <c:v>3.1650000000000393E-2</c:v>
                </c:pt>
                <c:pt idx="634">
                  <c:v>3.1700000000000395E-2</c:v>
                </c:pt>
                <c:pt idx="635">
                  <c:v>3.1750000000000396E-2</c:v>
                </c:pt>
                <c:pt idx="636">
                  <c:v>3.1800000000000397E-2</c:v>
                </c:pt>
                <c:pt idx="637">
                  <c:v>3.1850000000000399E-2</c:v>
                </c:pt>
                <c:pt idx="638">
                  <c:v>3.19000000000004E-2</c:v>
                </c:pt>
                <c:pt idx="639">
                  <c:v>3.1950000000000402E-2</c:v>
                </c:pt>
                <c:pt idx="640">
                  <c:v>3.2000000000000403E-2</c:v>
                </c:pt>
                <c:pt idx="641">
                  <c:v>3.2050000000000405E-2</c:v>
                </c:pt>
                <c:pt idx="642">
                  <c:v>3.2100000000000406E-2</c:v>
                </c:pt>
                <c:pt idx="643">
                  <c:v>3.2150000000000407E-2</c:v>
                </c:pt>
                <c:pt idx="644">
                  <c:v>3.2200000000000409E-2</c:v>
                </c:pt>
                <c:pt idx="645">
                  <c:v>3.225000000000041E-2</c:v>
                </c:pt>
                <c:pt idx="646">
                  <c:v>3.2300000000000412E-2</c:v>
                </c:pt>
                <c:pt idx="647">
                  <c:v>3.2350000000000413E-2</c:v>
                </c:pt>
                <c:pt idx="648">
                  <c:v>3.2400000000000415E-2</c:v>
                </c:pt>
                <c:pt idx="649">
                  <c:v>3.2450000000000416E-2</c:v>
                </c:pt>
                <c:pt idx="650">
                  <c:v>3.2500000000000417E-2</c:v>
                </c:pt>
                <c:pt idx="651">
                  <c:v>3.2550000000000419E-2</c:v>
                </c:pt>
                <c:pt idx="652">
                  <c:v>3.260000000000042E-2</c:v>
                </c:pt>
                <c:pt idx="653">
                  <c:v>3.2650000000000422E-2</c:v>
                </c:pt>
                <c:pt idx="654">
                  <c:v>3.2700000000000423E-2</c:v>
                </c:pt>
                <c:pt idx="655">
                  <c:v>3.2750000000000425E-2</c:v>
                </c:pt>
                <c:pt idx="656">
                  <c:v>3.2800000000000426E-2</c:v>
                </c:pt>
                <c:pt idx="657">
                  <c:v>3.2850000000000427E-2</c:v>
                </c:pt>
                <c:pt idx="658">
                  <c:v>3.2900000000000429E-2</c:v>
                </c:pt>
                <c:pt idx="659">
                  <c:v>3.295000000000043E-2</c:v>
                </c:pt>
                <c:pt idx="660">
                  <c:v>3.3000000000000432E-2</c:v>
                </c:pt>
                <c:pt idx="661">
                  <c:v>3.3050000000000433E-2</c:v>
                </c:pt>
                <c:pt idx="662">
                  <c:v>3.3100000000000435E-2</c:v>
                </c:pt>
                <c:pt idx="663">
                  <c:v>3.3150000000000436E-2</c:v>
                </c:pt>
                <c:pt idx="664">
                  <c:v>3.3200000000000437E-2</c:v>
                </c:pt>
                <c:pt idx="665">
                  <c:v>3.3250000000000439E-2</c:v>
                </c:pt>
                <c:pt idx="666">
                  <c:v>3.330000000000044E-2</c:v>
                </c:pt>
                <c:pt idx="667">
                  <c:v>3.3350000000000442E-2</c:v>
                </c:pt>
                <c:pt idx="668">
                  <c:v>3.3400000000000443E-2</c:v>
                </c:pt>
                <c:pt idx="669">
                  <c:v>3.3450000000000445E-2</c:v>
                </c:pt>
                <c:pt idx="670">
                  <c:v>3.3500000000000446E-2</c:v>
                </c:pt>
                <c:pt idx="671">
                  <c:v>3.3550000000000448E-2</c:v>
                </c:pt>
                <c:pt idx="672">
                  <c:v>3.3600000000000449E-2</c:v>
                </c:pt>
                <c:pt idx="673">
                  <c:v>3.365000000000045E-2</c:v>
                </c:pt>
                <c:pt idx="674">
                  <c:v>3.3700000000000452E-2</c:v>
                </c:pt>
                <c:pt idx="675">
                  <c:v>3.3750000000000453E-2</c:v>
                </c:pt>
                <c:pt idx="676">
                  <c:v>3.3800000000000455E-2</c:v>
                </c:pt>
                <c:pt idx="677">
                  <c:v>3.3850000000000456E-2</c:v>
                </c:pt>
                <c:pt idx="678">
                  <c:v>3.3900000000000458E-2</c:v>
                </c:pt>
                <c:pt idx="679">
                  <c:v>3.3950000000000459E-2</c:v>
                </c:pt>
                <c:pt idx="680">
                  <c:v>3.400000000000046E-2</c:v>
                </c:pt>
                <c:pt idx="681">
                  <c:v>3.4050000000000462E-2</c:v>
                </c:pt>
                <c:pt idx="682">
                  <c:v>3.4100000000000463E-2</c:v>
                </c:pt>
                <c:pt idx="683">
                  <c:v>3.4150000000000465E-2</c:v>
                </c:pt>
                <c:pt idx="684">
                  <c:v>3.4200000000000466E-2</c:v>
                </c:pt>
                <c:pt idx="685">
                  <c:v>3.4250000000000468E-2</c:v>
                </c:pt>
                <c:pt idx="686">
                  <c:v>3.4300000000000469E-2</c:v>
                </c:pt>
                <c:pt idx="687">
                  <c:v>3.435000000000047E-2</c:v>
                </c:pt>
                <c:pt idx="688">
                  <c:v>3.4400000000000472E-2</c:v>
                </c:pt>
                <c:pt idx="689">
                  <c:v>3.4450000000000473E-2</c:v>
                </c:pt>
                <c:pt idx="690">
                  <c:v>3.4500000000000475E-2</c:v>
                </c:pt>
                <c:pt idx="691">
                  <c:v>3.4550000000000476E-2</c:v>
                </c:pt>
                <c:pt idx="692">
                  <c:v>3.4600000000000478E-2</c:v>
                </c:pt>
                <c:pt idx="693">
                  <c:v>3.4650000000000479E-2</c:v>
                </c:pt>
                <c:pt idx="694">
                  <c:v>3.470000000000048E-2</c:v>
                </c:pt>
                <c:pt idx="695">
                  <c:v>3.4750000000000482E-2</c:v>
                </c:pt>
                <c:pt idx="696">
                  <c:v>3.4800000000000483E-2</c:v>
                </c:pt>
                <c:pt idx="697">
                  <c:v>3.4850000000000485E-2</c:v>
                </c:pt>
                <c:pt idx="698">
                  <c:v>3.4900000000000486E-2</c:v>
                </c:pt>
                <c:pt idx="699">
                  <c:v>3.4950000000000488E-2</c:v>
                </c:pt>
                <c:pt idx="700">
                  <c:v>3.5000000000000489E-2</c:v>
                </c:pt>
                <c:pt idx="701">
                  <c:v>3.505000000000049E-2</c:v>
                </c:pt>
                <c:pt idx="702">
                  <c:v>3.5100000000000492E-2</c:v>
                </c:pt>
                <c:pt idx="703">
                  <c:v>3.5150000000000493E-2</c:v>
                </c:pt>
                <c:pt idx="704">
                  <c:v>3.5200000000000495E-2</c:v>
                </c:pt>
                <c:pt idx="705">
                  <c:v>3.5250000000000496E-2</c:v>
                </c:pt>
                <c:pt idx="706">
                  <c:v>3.5300000000000498E-2</c:v>
                </c:pt>
                <c:pt idx="707">
                  <c:v>3.5350000000000499E-2</c:v>
                </c:pt>
                <c:pt idx="708">
                  <c:v>3.5400000000000501E-2</c:v>
                </c:pt>
                <c:pt idx="709">
                  <c:v>3.5450000000000502E-2</c:v>
                </c:pt>
                <c:pt idx="710">
                  <c:v>3.5500000000000503E-2</c:v>
                </c:pt>
                <c:pt idx="711">
                  <c:v>3.5550000000000505E-2</c:v>
                </c:pt>
                <c:pt idx="712">
                  <c:v>3.5600000000000506E-2</c:v>
                </c:pt>
                <c:pt idx="713">
                  <c:v>3.5650000000000508E-2</c:v>
                </c:pt>
                <c:pt idx="714">
                  <c:v>3.5700000000000509E-2</c:v>
                </c:pt>
                <c:pt idx="715">
                  <c:v>3.5750000000000511E-2</c:v>
                </c:pt>
                <c:pt idx="716">
                  <c:v>3.5800000000000512E-2</c:v>
                </c:pt>
                <c:pt idx="717">
                  <c:v>3.5850000000000513E-2</c:v>
                </c:pt>
                <c:pt idx="718">
                  <c:v>3.5900000000000515E-2</c:v>
                </c:pt>
                <c:pt idx="719">
                  <c:v>3.5950000000000516E-2</c:v>
                </c:pt>
                <c:pt idx="720">
                  <c:v>3.6000000000000518E-2</c:v>
                </c:pt>
                <c:pt idx="721">
                  <c:v>3.6050000000000519E-2</c:v>
                </c:pt>
                <c:pt idx="722">
                  <c:v>3.6100000000000521E-2</c:v>
                </c:pt>
                <c:pt idx="723">
                  <c:v>3.6150000000000522E-2</c:v>
                </c:pt>
                <c:pt idx="724">
                  <c:v>3.6200000000000523E-2</c:v>
                </c:pt>
                <c:pt idx="725">
                  <c:v>3.6250000000000525E-2</c:v>
                </c:pt>
                <c:pt idx="726">
                  <c:v>3.6300000000000526E-2</c:v>
                </c:pt>
                <c:pt idx="727">
                  <c:v>3.6350000000000528E-2</c:v>
                </c:pt>
                <c:pt idx="728">
                  <c:v>3.6400000000000529E-2</c:v>
                </c:pt>
                <c:pt idx="729">
                  <c:v>3.6450000000000531E-2</c:v>
                </c:pt>
                <c:pt idx="730">
                  <c:v>3.6500000000000532E-2</c:v>
                </c:pt>
                <c:pt idx="731">
                  <c:v>3.6550000000000533E-2</c:v>
                </c:pt>
                <c:pt idx="732">
                  <c:v>3.6600000000000535E-2</c:v>
                </c:pt>
                <c:pt idx="733">
                  <c:v>3.6650000000000536E-2</c:v>
                </c:pt>
                <c:pt idx="734">
                  <c:v>3.6700000000000538E-2</c:v>
                </c:pt>
                <c:pt idx="735">
                  <c:v>3.6750000000000539E-2</c:v>
                </c:pt>
                <c:pt idx="736">
                  <c:v>3.6800000000000541E-2</c:v>
                </c:pt>
                <c:pt idx="737">
                  <c:v>3.6850000000000542E-2</c:v>
                </c:pt>
                <c:pt idx="738">
                  <c:v>3.6900000000000543E-2</c:v>
                </c:pt>
                <c:pt idx="739">
                  <c:v>3.6950000000000545E-2</c:v>
                </c:pt>
                <c:pt idx="740">
                  <c:v>3.7000000000000546E-2</c:v>
                </c:pt>
                <c:pt idx="741">
                  <c:v>3.7050000000000548E-2</c:v>
                </c:pt>
                <c:pt idx="742">
                  <c:v>3.7100000000000549E-2</c:v>
                </c:pt>
                <c:pt idx="743">
                  <c:v>3.7150000000000551E-2</c:v>
                </c:pt>
                <c:pt idx="744">
                  <c:v>3.7200000000000552E-2</c:v>
                </c:pt>
                <c:pt idx="745">
                  <c:v>3.7250000000000554E-2</c:v>
                </c:pt>
                <c:pt idx="746">
                  <c:v>3.7300000000000555E-2</c:v>
                </c:pt>
                <c:pt idx="747">
                  <c:v>3.7350000000000556E-2</c:v>
                </c:pt>
                <c:pt idx="748">
                  <c:v>3.7400000000000558E-2</c:v>
                </c:pt>
                <c:pt idx="749">
                  <c:v>3.7450000000000559E-2</c:v>
                </c:pt>
                <c:pt idx="750">
                  <c:v>3.7500000000000561E-2</c:v>
                </c:pt>
                <c:pt idx="751">
                  <c:v>3.7550000000000562E-2</c:v>
                </c:pt>
                <c:pt idx="752">
                  <c:v>3.7600000000000564E-2</c:v>
                </c:pt>
                <c:pt idx="753">
                  <c:v>3.7650000000000565E-2</c:v>
                </c:pt>
                <c:pt idx="754">
                  <c:v>3.7700000000000566E-2</c:v>
                </c:pt>
                <c:pt idx="755">
                  <c:v>3.7750000000000568E-2</c:v>
                </c:pt>
                <c:pt idx="756">
                  <c:v>3.7800000000000569E-2</c:v>
                </c:pt>
                <c:pt idx="757">
                  <c:v>3.7850000000000571E-2</c:v>
                </c:pt>
                <c:pt idx="758">
                  <c:v>3.7900000000000572E-2</c:v>
                </c:pt>
                <c:pt idx="759">
                  <c:v>3.7950000000000574E-2</c:v>
                </c:pt>
                <c:pt idx="760">
                  <c:v>3.8000000000000575E-2</c:v>
                </c:pt>
                <c:pt idx="761">
                  <c:v>3.8050000000000576E-2</c:v>
                </c:pt>
                <c:pt idx="762">
                  <c:v>3.8100000000000578E-2</c:v>
                </c:pt>
                <c:pt idx="763">
                  <c:v>3.8150000000000579E-2</c:v>
                </c:pt>
                <c:pt idx="764">
                  <c:v>3.8200000000000581E-2</c:v>
                </c:pt>
                <c:pt idx="765">
                  <c:v>3.8250000000000582E-2</c:v>
                </c:pt>
                <c:pt idx="766">
                  <c:v>3.8300000000000584E-2</c:v>
                </c:pt>
                <c:pt idx="767">
                  <c:v>3.8350000000000585E-2</c:v>
                </c:pt>
                <c:pt idx="768">
                  <c:v>3.8400000000000586E-2</c:v>
                </c:pt>
                <c:pt idx="769">
                  <c:v>3.8450000000000588E-2</c:v>
                </c:pt>
                <c:pt idx="770">
                  <c:v>3.8500000000000589E-2</c:v>
                </c:pt>
                <c:pt idx="771">
                  <c:v>3.8550000000000591E-2</c:v>
                </c:pt>
                <c:pt idx="772">
                  <c:v>3.8600000000000592E-2</c:v>
                </c:pt>
                <c:pt idx="773">
                  <c:v>3.8650000000000594E-2</c:v>
                </c:pt>
                <c:pt idx="774">
                  <c:v>3.8700000000000595E-2</c:v>
                </c:pt>
                <c:pt idx="775">
                  <c:v>3.8750000000000596E-2</c:v>
                </c:pt>
                <c:pt idx="776">
                  <c:v>3.8800000000000598E-2</c:v>
                </c:pt>
                <c:pt idx="777">
                  <c:v>3.8850000000000599E-2</c:v>
                </c:pt>
                <c:pt idx="778">
                  <c:v>3.8900000000000601E-2</c:v>
                </c:pt>
                <c:pt idx="779">
                  <c:v>3.8950000000000602E-2</c:v>
                </c:pt>
                <c:pt idx="780">
                  <c:v>3.9000000000000604E-2</c:v>
                </c:pt>
                <c:pt idx="781">
                  <c:v>3.9050000000000605E-2</c:v>
                </c:pt>
                <c:pt idx="782">
                  <c:v>3.9100000000000606E-2</c:v>
                </c:pt>
                <c:pt idx="783">
                  <c:v>3.9150000000000608E-2</c:v>
                </c:pt>
                <c:pt idx="784">
                  <c:v>3.9200000000000609E-2</c:v>
                </c:pt>
                <c:pt idx="785">
                  <c:v>3.9250000000000611E-2</c:v>
                </c:pt>
                <c:pt idx="786">
                  <c:v>3.9300000000000612E-2</c:v>
                </c:pt>
                <c:pt idx="787">
                  <c:v>3.9350000000000614E-2</c:v>
                </c:pt>
                <c:pt idx="788">
                  <c:v>3.9400000000000615E-2</c:v>
                </c:pt>
                <c:pt idx="789">
                  <c:v>3.9450000000000617E-2</c:v>
                </c:pt>
                <c:pt idx="790">
                  <c:v>3.9500000000000618E-2</c:v>
                </c:pt>
                <c:pt idx="791">
                  <c:v>3.9550000000000619E-2</c:v>
                </c:pt>
                <c:pt idx="792">
                  <c:v>3.9600000000000621E-2</c:v>
                </c:pt>
                <c:pt idx="793">
                  <c:v>3.9650000000000622E-2</c:v>
                </c:pt>
                <c:pt idx="794">
                  <c:v>3.9700000000000624E-2</c:v>
                </c:pt>
                <c:pt idx="795">
                  <c:v>3.9750000000000625E-2</c:v>
                </c:pt>
                <c:pt idx="796">
                  <c:v>3.9800000000000627E-2</c:v>
                </c:pt>
                <c:pt idx="797">
                  <c:v>3.9850000000000628E-2</c:v>
                </c:pt>
                <c:pt idx="798">
                  <c:v>3.9900000000000629E-2</c:v>
                </c:pt>
                <c:pt idx="799">
                  <c:v>3.9950000000000631E-2</c:v>
                </c:pt>
                <c:pt idx="800">
                  <c:v>4.0000000000000632E-2</c:v>
                </c:pt>
                <c:pt idx="801">
                  <c:v>4.0050000000000634E-2</c:v>
                </c:pt>
                <c:pt idx="802">
                  <c:v>4.0100000000000635E-2</c:v>
                </c:pt>
                <c:pt idx="803">
                  <c:v>4.0150000000000637E-2</c:v>
                </c:pt>
                <c:pt idx="804">
                  <c:v>4.0200000000000638E-2</c:v>
                </c:pt>
                <c:pt idx="805">
                  <c:v>4.0250000000000639E-2</c:v>
                </c:pt>
                <c:pt idx="806">
                  <c:v>4.0300000000000641E-2</c:v>
                </c:pt>
                <c:pt idx="807">
                  <c:v>4.0350000000000642E-2</c:v>
                </c:pt>
                <c:pt idx="808">
                  <c:v>4.0400000000000644E-2</c:v>
                </c:pt>
                <c:pt idx="809">
                  <c:v>4.0450000000000645E-2</c:v>
                </c:pt>
                <c:pt idx="810">
                  <c:v>4.0500000000000647E-2</c:v>
                </c:pt>
                <c:pt idx="811">
                  <c:v>4.0550000000000648E-2</c:v>
                </c:pt>
                <c:pt idx="812">
                  <c:v>4.0600000000000649E-2</c:v>
                </c:pt>
                <c:pt idx="813">
                  <c:v>4.0650000000000651E-2</c:v>
                </c:pt>
                <c:pt idx="814">
                  <c:v>4.0700000000000652E-2</c:v>
                </c:pt>
                <c:pt idx="815">
                  <c:v>4.0750000000000654E-2</c:v>
                </c:pt>
                <c:pt idx="816">
                  <c:v>4.0800000000000655E-2</c:v>
                </c:pt>
                <c:pt idx="817">
                  <c:v>4.0850000000000657E-2</c:v>
                </c:pt>
                <c:pt idx="818">
                  <c:v>4.0900000000000658E-2</c:v>
                </c:pt>
                <c:pt idx="819">
                  <c:v>4.0950000000000659E-2</c:v>
                </c:pt>
                <c:pt idx="820">
                  <c:v>4.1000000000000661E-2</c:v>
                </c:pt>
                <c:pt idx="821">
                  <c:v>4.1050000000000662E-2</c:v>
                </c:pt>
                <c:pt idx="822">
                  <c:v>4.1100000000000664E-2</c:v>
                </c:pt>
                <c:pt idx="823">
                  <c:v>4.1150000000000665E-2</c:v>
                </c:pt>
                <c:pt idx="824">
                  <c:v>4.1200000000000667E-2</c:v>
                </c:pt>
                <c:pt idx="825">
                  <c:v>4.1250000000000668E-2</c:v>
                </c:pt>
                <c:pt idx="826">
                  <c:v>4.130000000000067E-2</c:v>
                </c:pt>
                <c:pt idx="827">
                  <c:v>4.1350000000000671E-2</c:v>
                </c:pt>
                <c:pt idx="828">
                  <c:v>4.1400000000000672E-2</c:v>
                </c:pt>
                <c:pt idx="829">
                  <c:v>4.1450000000000674E-2</c:v>
                </c:pt>
                <c:pt idx="830">
                  <c:v>4.1500000000000675E-2</c:v>
                </c:pt>
                <c:pt idx="831">
                  <c:v>4.1550000000000677E-2</c:v>
                </c:pt>
                <c:pt idx="832">
                  <c:v>4.1600000000000678E-2</c:v>
                </c:pt>
                <c:pt idx="833">
                  <c:v>4.165000000000068E-2</c:v>
                </c:pt>
                <c:pt idx="834">
                  <c:v>4.1700000000000681E-2</c:v>
                </c:pt>
                <c:pt idx="835">
                  <c:v>4.1750000000000682E-2</c:v>
                </c:pt>
                <c:pt idx="836">
                  <c:v>4.1800000000000684E-2</c:v>
                </c:pt>
                <c:pt idx="837">
                  <c:v>4.1850000000000685E-2</c:v>
                </c:pt>
                <c:pt idx="838">
                  <c:v>4.1900000000000687E-2</c:v>
                </c:pt>
                <c:pt idx="839">
                  <c:v>4.1950000000000688E-2</c:v>
                </c:pt>
                <c:pt idx="840">
                  <c:v>4.200000000000069E-2</c:v>
                </c:pt>
                <c:pt idx="841">
                  <c:v>4.2050000000000691E-2</c:v>
                </c:pt>
                <c:pt idx="842">
                  <c:v>4.2100000000000692E-2</c:v>
                </c:pt>
                <c:pt idx="843">
                  <c:v>4.2150000000000694E-2</c:v>
                </c:pt>
                <c:pt idx="844">
                  <c:v>4.2200000000000695E-2</c:v>
                </c:pt>
                <c:pt idx="845">
                  <c:v>4.2250000000000697E-2</c:v>
                </c:pt>
                <c:pt idx="846">
                  <c:v>4.2300000000000698E-2</c:v>
                </c:pt>
                <c:pt idx="847">
                  <c:v>4.23500000000007E-2</c:v>
                </c:pt>
                <c:pt idx="848">
                  <c:v>4.2400000000000701E-2</c:v>
                </c:pt>
                <c:pt idx="849">
                  <c:v>4.2450000000000702E-2</c:v>
                </c:pt>
                <c:pt idx="850">
                  <c:v>4.2500000000000704E-2</c:v>
                </c:pt>
                <c:pt idx="851">
                  <c:v>4.2550000000000705E-2</c:v>
                </c:pt>
                <c:pt idx="852">
                  <c:v>4.2600000000000707E-2</c:v>
                </c:pt>
                <c:pt idx="853">
                  <c:v>4.2650000000000708E-2</c:v>
                </c:pt>
                <c:pt idx="854">
                  <c:v>4.270000000000071E-2</c:v>
                </c:pt>
                <c:pt idx="855">
                  <c:v>4.2750000000000711E-2</c:v>
                </c:pt>
                <c:pt idx="856">
                  <c:v>4.2800000000000712E-2</c:v>
                </c:pt>
                <c:pt idx="857">
                  <c:v>4.2850000000000714E-2</c:v>
                </c:pt>
                <c:pt idx="858">
                  <c:v>4.2900000000000715E-2</c:v>
                </c:pt>
                <c:pt idx="859">
                  <c:v>4.2950000000000717E-2</c:v>
                </c:pt>
                <c:pt idx="860">
                  <c:v>4.3000000000000718E-2</c:v>
                </c:pt>
                <c:pt idx="861">
                  <c:v>4.305000000000072E-2</c:v>
                </c:pt>
                <c:pt idx="862">
                  <c:v>4.3100000000000721E-2</c:v>
                </c:pt>
                <c:pt idx="863">
                  <c:v>4.3150000000000722E-2</c:v>
                </c:pt>
                <c:pt idx="864">
                  <c:v>4.3200000000000724E-2</c:v>
                </c:pt>
                <c:pt idx="865">
                  <c:v>4.3250000000000725E-2</c:v>
                </c:pt>
                <c:pt idx="866">
                  <c:v>4.3300000000000727E-2</c:v>
                </c:pt>
                <c:pt idx="867">
                  <c:v>4.3350000000000728E-2</c:v>
                </c:pt>
                <c:pt idx="868">
                  <c:v>4.340000000000073E-2</c:v>
                </c:pt>
                <c:pt idx="869">
                  <c:v>4.3450000000000731E-2</c:v>
                </c:pt>
                <c:pt idx="870">
                  <c:v>4.3500000000000733E-2</c:v>
                </c:pt>
                <c:pt idx="871">
                  <c:v>4.3550000000000734E-2</c:v>
                </c:pt>
                <c:pt idx="872">
                  <c:v>4.3600000000000735E-2</c:v>
                </c:pt>
                <c:pt idx="873">
                  <c:v>4.3650000000000737E-2</c:v>
                </c:pt>
                <c:pt idx="874">
                  <c:v>4.3700000000000738E-2</c:v>
                </c:pt>
                <c:pt idx="875">
                  <c:v>4.375000000000074E-2</c:v>
                </c:pt>
                <c:pt idx="876">
                  <c:v>4.3800000000000741E-2</c:v>
                </c:pt>
                <c:pt idx="877">
                  <c:v>4.3850000000000743E-2</c:v>
                </c:pt>
                <c:pt idx="878">
                  <c:v>4.3900000000000744E-2</c:v>
                </c:pt>
                <c:pt idx="879">
                  <c:v>4.3950000000000745E-2</c:v>
                </c:pt>
                <c:pt idx="880">
                  <c:v>4.4000000000000747E-2</c:v>
                </c:pt>
                <c:pt idx="881">
                  <c:v>4.4050000000000748E-2</c:v>
                </c:pt>
                <c:pt idx="882">
                  <c:v>4.410000000000075E-2</c:v>
                </c:pt>
                <c:pt idx="883">
                  <c:v>4.4150000000000751E-2</c:v>
                </c:pt>
                <c:pt idx="884">
                  <c:v>4.4200000000000753E-2</c:v>
                </c:pt>
                <c:pt idx="885">
                  <c:v>4.4250000000000754E-2</c:v>
                </c:pt>
                <c:pt idx="886">
                  <c:v>4.4300000000000755E-2</c:v>
                </c:pt>
                <c:pt idx="887">
                  <c:v>4.4350000000000757E-2</c:v>
                </c:pt>
                <c:pt idx="888">
                  <c:v>4.4400000000000758E-2</c:v>
                </c:pt>
                <c:pt idx="889">
                  <c:v>4.445000000000076E-2</c:v>
                </c:pt>
                <c:pt idx="890">
                  <c:v>4.4500000000000761E-2</c:v>
                </c:pt>
                <c:pt idx="891">
                  <c:v>4.4550000000000763E-2</c:v>
                </c:pt>
                <c:pt idx="892">
                  <c:v>4.4600000000000764E-2</c:v>
                </c:pt>
                <c:pt idx="893">
                  <c:v>4.4650000000000765E-2</c:v>
                </c:pt>
                <c:pt idx="894">
                  <c:v>4.4700000000000767E-2</c:v>
                </c:pt>
                <c:pt idx="895">
                  <c:v>4.4750000000000768E-2</c:v>
                </c:pt>
                <c:pt idx="896">
                  <c:v>4.480000000000077E-2</c:v>
                </c:pt>
                <c:pt idx="897">
                  <c:v>4.4850000000000771E-2</c:v>
                </c:pt>
                <c:pt idx="898">
                  <c:v>4.4900000000000773E-2</c:v>
                </c:pt>
                <c:pt idx="899">
                  <c:v>4.4950000000000774E-2</c:v>
                </c:pt>
                <c:pt idx="900">
                  <c:v>4.5000000000000775E-2</c:v>
                </c:pt>
                <c:pt idx="901">
                  <c:v>4.5050000000000777E-2</c:v>
                </c:pt>
                <c:pt idx="902">
                  <c:v>4.5100000000000778E-2</c:v>
                </c:pt>
                <c:pt idx="903">
                  <c:v>4.515000000000078E-2</c:v>
                </c:pt>
                <c:pt idx="904">
                  <c:v>4.5200000000000781E-2</c:v>
                </c:pt>
                <c:pt idx="905">
                  <c:v>4.5250000000000783E-2</c:v>
                </c:pt>
                <c:pt idx="906">
                  <c:v>4.5300000000000784E-2</c:v>
                </c:pt>
                <c:pt idx="907">
                  <c:v>4.5350000000000786E-2</c:v>
                </c:pt>
                <c:pt idx="908">
                  <c:v>4.5400000000000787E-2</c:v>
                </c:pt>
                <c:pt idx="909">
                  <c:v>4.5450000000000788E-2</c:v>
                </c:pt>
                <c:pt idx="910">
                  <c:v>4.550000000000079E-2</c:v>
                </c:pt>
                <c:pt idx="911">
                  <c:v>4.5550000000000791E-2</c:v>
                </c:pt>
                <c:pt idx="912">
                  <c:v>4.5600000000000793E-2</c:v>
                </c:pt>
                <c:pt idx="913">
                  <c:v>4.5650000000000794E-2</c:v>
                </c:pt>
                <c:pt idx="914">
                  <c:v>4.5700000000000796E-2</c:v>
                </c:pt>
                <c:pt idx="915">
                  <c:v>4.5750000000000797E-2</c:v>
                </c:pt>
                <c:pt idx="916">
                  <c:v>4.5800000000000798E-2</c:v>
                </c:pt>
                <c:pt idx="917">
                  <c:v>4.58500000000008E-2</c:v>
                </c:pt>
                <c:pt idx="918">
                  <c:v>4.5900000000000801E-2</c:v>
                </c:pt>
                <c:pt idx="919">
                  <c:v>4.5950000000000803E-2</c:v>
                </c:pt>
                <c:pt idx="920">
                  <c:v>4.6000000000000804E-2</c:v>
                </c:pt>
                <c:pt idx="921">
                  <c:v>4.6050000000000806E-2</c:v>
                </c:pt>
                <c:pt idx="922">
                  <c:v>4.6100000000000807E-2</c:v>
                </c:pt>
                <c:pt idx="923">
                  <c:v>4.6150000000000808E-2</c:v>
                </c:pt>
                <c:pt idx="924">
                  <c:v>4.620000000000081E-2</c:v>
                </c:pt>
                <c:pt idx="925">
                  <c:v>4.6250000000000811E-2</c:v>
                </c:pt>
                <c:pt idx="926">
                  <c:v>4.6300000000000813E-2</c:v>
                </c:pt>
                <c:pt idx="927">
                  <c:v>4.6350000000000814E-2</c:v>
                </c:pt>
                <c:pt idx="928">
                  <c:v>4.6400000000000816E-2</c:v>
                </c:pt>
                <c:pt idx="929">
                  <c:v>4.6450000000000817E-2</c:v>
                </c:pt>
                <c:pt idx="930">
                  <c:v>4.6500000000000818E-2</c:v>
                </c:pt>
                <c:pt idx="931">
                  <c:v>4.655000000000082E-2</c:v>
                </c:pt>
                <c:pt idx="932">
                  <c:v>4.6600000000000821E-2</c:v>
                </c:pt>
                <c:pt idx="933">
                  <c:v>4.6650000000000823E-2</c:v>
                </c:pt>
                <c:pt idx="934">
                  <c:v>4.6700000000000824E-2</c:v>
                </c:pt>
                <c:pt idx="935">
                  <c:v>4.6750000000000826E-2</c:v>
                </c:pt>
                <c:pt idx="936">
                  <c:v>4.6800000000000827E-2</c:v>
                </c:pt>
                <c:pt idx="937">
                  <c:v>4.6850000000000828E-2</c:v>
                </c:pt>
                <c:pt idx="938">
                  <c:v>4.690000000000083E-2</c:v>
                </c:pt>
                <c:pt idx="939">
                  <c:v>4.6950000000000831E-2</c:v>
                </c:pt>
                <c:pt idx="940">
                  <c:v>4.7000000000000833E-2</c:v>
                </c:pt>
                <c:pt idx="941">
                  <c:v>4.7050000000000834E-2</c:v>
                </c:pt>
                <c:pt idx="942">
                  <c:v>4.7100000000000836E-2</c:v>
                </c:pt>
                <c:pt idx="943">
                  <c:v>4.7150000000000837E-2</c:v>
                </c:pt>
                <c:pt idx="944">
                  <c:v>4.7200000000000839E-2</c:v>
                </c:pt>
                <c:pt idx="945">
                  <c:v>4.725000000000084E-2</c:v>
                </c:pt>
                <c:pt idx="946">
                  <c:v>4.7300000000000841E-2</c:v>
                </c:pt>
                <c:pt idx="947">
                  <c:v>4.7350000000000843E-2</c:v>
                </c:pt>
                <c:pt idx="948">
                  <c:v>4.7400000000000844E-2</c:v>
                </c:pt>
                <c:pt idx="949">
                  <c:v>4.7450000000000846E-2</c:v>
                </c:pt>
                <c:pt idx="950">
                  <c:v>4.7500000000000847E-2</c:v>
                </c:pt>
                <c:pt idx="951">
                  <c:v>4.7550000000000849E-2</c:v>
                </c:pt>
                <c:pt idx="952">
                  <c:v>4.760000000000085E-2</c:v>
                </c:pt>
                <c:pt idx="953">
                  <c:v>4.7650000000000851E-2</c:v>
                </c:pt>
                <c:pt idx="954">
                  <c:v>4.7700000000000853E-2</c:v>
                </c:pt>
                <c:pt idx="955">
                  <c:v>4.7750000000000854E-2</c:v>
                </c:pt>
                <c:pt idx="956">
                  <c:v>4.7800000000000856E-2</c:v>
                </c:pt>
                <c:pt idx="957">
                  <c:v>4.7850000000000857E-2</c:v>
                </c:pt>
                <c:pt idx="958">
                  <c:v>4.7900000000000859E-2</c:v>
                </c:pt>
                <c:pt idx="959">
                  <c:v>4.795000000000086E-2</c:v>
                </c:pt>
                <c:pt idx="960">
                  <c:v>4.8000000000000861E-2</c:v>
                </c:pt>
                <c:pt idx="961">
                  <c:v>4.8050000000000863E-2</c:v>
                </c:pt>
                <c:pt idx="962">
                  <c:v>4.8100000000000864E-2</c:v>
                </c:pt>
                <c:pt idx="963">
                  <c:v>4.8150000000000866E-2</c:v>
                </c:pt>
                <c:pt idx="964">
                  <c:v>4.8200000000000867E-2</c:v>
                </c:pt>
                <c:pt idx="965">
                  <c:v>4.8250000000000869E-2</c:v>
                </c:pt>
                <c:pt idx="966">
                  <c:v>4.830000000000087E-2</c:v>
                </c:pt>
                <c:pt idx="967">
                  <c:v>4.8350000000000871E-2</c:v>
                </c:pt>
                <c:pt idx="968">
                  <c:v>4.8400000000000873E-2</c:v>
                </c:pt>
                <c:pt idx="969">
                  <c:v>4.8450000000000874E-2</c:v>
                </c:pt>
                <c:pt idx="970">
                  <c:v>4.8500000000000876E-2</c:v>
                </c:pt>
                <c:pt idx="971">
                  <c:v>4.8550000000000877E-2</c:v>
                </c:pt>
                <c:pt idx="972">
                  <c:v>4.8600000000000879E-2</c:v>
                </c:pt>
                <c:pt idx="973">
                  <c:v>4.865000000000088E-2</c:v>
                </c:pt>
                <c:pt idx="974">
                  <c:v>4.8700000000000881E-2</c:v>
                </c:pt>
                <c:pt idx="975">
                  <c:v>4.8750000000000883E-2</c:v>
                </c:pt>
                <c:pt idx="976">
                  <c:v>4.8800000000000884E-2</c:v>
                </c:pt>
                <c:pt idx="977">
                  <c:v>4.8850000000000886E-2</c:v>
                </c:pt>
                <c:pt idx="978">
                  <c:v>4.8900000000000887E-2</c:v>
                </c:pt>
                <c:pt idx="979">
                  <c:v>4.8950000000000889E-2</c:v>
                </c:pt>
                <c:pt idx="980">
                  <c:v>4.900000000000089E-2</c:v>
                </c:pt>
                <c:pt idx="981">
                  <c:v>4.9050000000000891E-2</c:v>
                </c:pt>
                <c:pt idx="982">
                  <c:v>4.9100000000000893E-2</c:v>
                </c:pt>
                <c:pt idx="983">
                  <c:v>4.9150000000000894E-2</c:v>
                </c:pt>
                <c:pt idx="984">
                  <c:v>4.9200000000000896E-2</c:v>
                </c:pt>
                <c:pt idx="985">
                  <c:v>4.9250000000000897E-2</c:v>
                </c:pt>
                <c:pt idx="986">
                  <c:v>4.9300000000000899E-2</c:v>
                </c:pt>
                <c:pt idx="987">
                  <c:v>4.93500000000009E-2</c:v>
                </c:pt>
                <c:pt idx="988">
                  <c:v>4.9400000000000902E-2</c:v>
                </c:pt>
                <c:pt idx="989">
                  <c:v>4.9450000000000903E-2</c:v>
                </c:pt>
                <c:pt idx="990">
                  <c:v>4.9500000000000904E-2</c:v>
                </c:pt>
                <c:pt idx="991">
                  <c:v>4.9550000000000906E-2</c:v>
                </c:pt>
                <c:pt idx="992">
                  <c:v>4.9600000000000907E-2</c:v>
                </c:pt>
                <c:pt idx="993">
                  <c:v>4.9650000000000909E-2</c:v>
                </c:pt>
                <c:pt idx="994">
                  <c:v>4.970000000000091E-2</c:v>
                </c:pt>
                <c:pt idx="995">
                  <c:v>4.9750000000000912E-2</c:v>
                </c:pt>
                <c:pt idx="996">
                  <c:v>4.9800000000000913E-2</c:v>
                </c:pt>
                <c:pt idx="997">
                  <c:v>4.9850000000000914E-2</c:v>
                </c:pt>
                <c:pt idx="998">
                  <c:v>4.9900000000000916E-2</c:v>
                </c:pt>
                <c:pt idx="999">
                  <c:v>4.9950000000000917E-2</c:v>
                </c:pt>
              </c:numCache>
            </c:numRef>
          </c:xVal>
          <c:yVal>
            <c:numRef>
              <c:f>'Ex13'!$B$4:$B$1003</c:f>
              <c:numCache>
                <c:formatCode>General</c:formatCode>
                <c:ptCount val="1000"/>
                <c:pt idx="0">
                  <c:v>0</c:v>
                </c:pt>
                <c:pt idx="1">
                  <c:v>0.36687546317322656</c:v>
                </c:pt>
                <c:pt idx="2">
                  <c:v>0.5376247506187235</c:v>
                </c:pt>
                <c:pt idx="3">
                  <c:v>0.39336203553822768</c:v>
                </c:pt>
                <c:pt idx="4">
                  <c:v>1.8572449837951215E-15</c:v>
                </c:pt>
                <c:pt idx="5">
                  <c:v>-0.41937816724640148</c:v>
                </c:pt>
                <c:pt idx="6">
                  <c:v>-0.61110117345408044</c:v>
                </c:pt>
                <c:pt idx="7">
                  <c:v>-0.44461778851647099</c:v>
                </c:pt>
                <c:pt idx="8">
                  <c:v>-3.6012984032966748E-15</c:v>
                </c:pt>
                <c:pt idx="9">
                  <c:v>0.46878604324170636</c:v>
                </c:pt>
                <c:pt idx="10">
                  <c:v>0.67936044933348405</c:v>
                </c:pt>
                <c:pt idx="11">
                  <c:v>0.49160353181182814</c:v>
                </c:pt>
                <c:pt idx="12">
                  <c:v>5.3096961576455699E-15</c:v>
                </c:pt>
                <c:pt idx="13">
                  <c:v>-0.51281031585801273</c:v>
                </c:pt>
                <c:pt idx="14">
                  <c:v>-0.73925850686817229</c:v>
                </c:pt>
                <c:pt idx="15">
                  <c:v>-0.53216962334883555</c:v>
                </c:pt>
                <c:pt idx="16">
                  <c:v>-7.1713341042980382E-15</c:v>
                </c:pt>
                <c:pt idx="17">
                  <c:v>0.5494711971612638</c:v>
                </c:pt>
                <c:pt idx="18">
                  <c:v>0.78813076948900307</c:v>
                </c:pt>
                <c:pt idx="19">
                  <c:v>0.56453423583945206</c:v>
                </c:pt>
                <c:pt idx="20">
                  <c:v>1.0538809342856795E-14</c:v>
                </c:pt>
                <c:pt idx="21">
                  <c:v>-0.57720988164371445</c:v>
                </c:pt>
                <c:pt idx="22">
                  <c:v>-0.82394224809547556</c:v>
                </c:pt>
                <c:pt idx="23">
                  <c:v>-0.58738321808604754</c:v>
                </c:pt>
                <c:pt idx="24">
                  <c:v>-1.8446045807708763E-14</c:v>
                </c:pt>
                <c:pt idx="25">
                  <c:v>0.5949747468305685</c:v>
                </c:pt>
                <c:pt idx="26">
                  <c:v>0.84539907116993651</c:v>
                </c:pt>
                <c:pt idx="27">
                  <c:v>0.59994132199191486</c:v>
                </c:pt>
                <c:pt idx="28">
                  <c:v>2.490351697002216E-14</c:v>
                </c:pt>
                <c:pt idx="29">
                  <c:v>-0.6022765283565642</c:v>
                </c:pt>
                <c:pt idx="30">
                  <c:v>-0.8520147021340202</c:v>
                </c:pt>
                <c:pt idx="31">
                  <c:v>-0.60201049875661383</c:v>
                </c:pt>
                <c:pt idx="32">
                  <c:v>-3.1024656273996495E-14</c:v>
                </c:pt>
                <c:pt idx="33">
                  <c:v>0.59920917459421619</c:v>
                </c:pt>
                <c:pt idx="34">
                  <c:v>0.84412692110917598</c:v>
                </c:pt>
                <c:pt idx="35">
                  <c:v>0.5939730222238474</c:v>
                </c:pt>
                <c:pt idx="36">
                  <c:v>3.9488247392461895E-14</c:v>
                </c:pt>
                <c:pt idx="37">
                  <c:v>-0.58643522639492363</c:v>
                </c:pt>
                <c:pt idx="38">
                  <c:v>-0.82286471836338848</c:v>
                </c:pt>
                <c:pt idx="39">
                  <c:v>-0.57675939012486988</c:v>
                </c:pt>
                <c:pt idx="40">
                  <c:v>-4.1166006442594515E-14</c:v>
                </c:pt>
                <c:pt idx="41">
                  <c:v>0.56513677806202223</c:v>
                </c:pt>
                <c:pt idx="42">
                  <c:v>0.79006736704606984</c:v>
                </c:pt>
                <c:pt idx="43">
                  <c:v>0.55178314751229351</c:v>
                </c:pt>
                <c:pt idx="44">
                  <c:v>3.6603854563702979E-14</c:v>
                </c:pt>
                <c:pt idx="45">
                  <c:v>-0.53693521770487529</c:v>
                </c:pt>
                <c:pt idx="46">
                  <c:v>-0.74816091769586723</c:v>
                </c:pt>
                <c:pt idx="47">
                  <c:v>-0.52084683348798677</c:v>
                </c:pt>
                <c:pt idx="48">
                  <c:v>-3.1959585883560927E-14</c:v>
                </c:pt>
                <c:pt idx="49">
                  <c:v>0.50378488435894508</c:v>
                </c:pt>
                <c:pt idx="50">
                  <c:v>0.70000000000000062</c:v>
                </c:pt>
                <c:pt idx="51">
                  <c:v>0.48602504349762188</c:v>
                </c:pt>
                <c:pt idx="52">
                  <c:v>2.2641878920665917E-14</c:v>
                </c:pt>
                <c:pt idx="53">
                  <c:v>-0.46784739420346205</c:v>
                </c:pt>
                <c:pt idx="54">
                  <c:v>-0.64868496282992516</c:v>
                </c:pt>
                <c:pt idx="55">
                  <c:v>-0.44953201281514971</c:v>
                </c:pt>
                <c:pt idx="56">
                  <c:v>-1.8769815291013417E-14</c:v>
                </c:pt>
                <c:pt idx="57">
                  <c:v>0.43135457777046771</c:v>
                </c:pt>
                <c:pt idx="58">
                  <c:v>0.59736589740538371</c:v>
                </c:pt>
                <c:pt idx="59">
                  <c:v>0.4135820739536244</c:v>
                </c:pt>
                <c:pt idx="60">
                  <c:v>1.5293284976599668E-14</c:v>
                </c:pt>
                <c:pt idx="61">
                  <c:v>-0.39646865986791791</c:v>
                </c:pt>
                <c:pt idx="62">
                  <c:v>-0.5490458759919129</c:v>
                </c:pt>
                <c:pt idx="63">
                  <c:v>-0.38025176250618875</c:v>
                </c:pt>
                <c:pt idx="64">
                  <c:v>-1.2263108519123235E-14</c:v>
                </c:pt>
                <c:pt idx="65">
                  <c:v>0.36514846109674032</c:v>
                </c:pt>
                <c:pt idx="66">
                  <c:v>0.50639575090836997</c:v>
                </c:pt>
                <c:pt idx="67">
                  <c:v>0.35135221625101132</c:v>
                </c:pt>
                <c:pt idx="68">
                  <c:v>9.6826072792121885E-15</c:v>
                </c:pt>
                <c:pt idx="69">
                  <c:v>-0.3390299954928338</c:v>
                </c:pt>
                <c:pt idx="70">
                  <c:v>-0.47159209561595888</c:v>
                </c:pt>
                <c:pt idx="71">
                  <c:v>-0.3283198398057251</c:v>
                </c:pt>
                <c:pt idx="72">
                  <c:v>-4.260581422132086E-15</c:v>
                </c:pt>
                <c:pt idx="73">
                  <c:v>0.31932890878616182</c:v>
                </c:pt>
                <c:pt idx="74">
                  <c:v>0.44618837979862802</c:v>
                </c:pt>
                <c:pt idx="75">
                  <c:v>0.31213203435596754</c:v>
                </c:pt>
                <c:pt idx="76">
                  <c:v>2.5711479398233657E-15</c:v>
                </c:pt>
                <c:pt idx="77">
                  <c:v>-0.30677080488030029</c:v>
                </c:pt>
                <c:pt idx="78">
                  <c:v>-0.4310273478040002</c:v>
                </c:pt>
                <c:pt idx="79">
                  <c:v>-0.30325319309285953</c:v>
                </c:pt>
                <c:pt idx="80">
                  <c:v>-4.0831693661796277E-15</c:v>
                </c:pt>
                <c:pt idx="81">
                  <c:v>0.30155373257569035</c:v>
                </c:pt>
                <c:pt idx="82">
                  <c:v>0.4261999485025954</c:v>
                </c:pt>
                <c:pt idx="83">
                  <c:v>0.30161423881804161</c:v>
                </c:pt>
                <c:pt idx="84">
                  <c:v>1.1730514844862635E-14</c:v>
                </c:pt>
                <c:pt idx="85">
                  <c:v>-0.30334506222174834</c:v>
                </c:pt>
                <c:pt idx="86">
                  <c:v>-0.43105320975785655</c:v>
                </c:pt>
                <c:pt idx="87">
                  <c:v>-0.30662685196926026</c:v>
                </c:pt>
                <c:pt idx="88">
                  <c:v>-2.2897960196247193E-14</c:v>
                </c:pt>
                <c:pt idx="89">
                  <c:v>0.31131280155489455</c:v>
                </c:pt>
                <c:pt idx="90">
                  <c:v>0.44424634841649452</c:v>
                </c:pt>
                <c:pt idx="91">
                  <c:v>0.31723133913329149</c:v>
                </c:pt>
                <c:pt idx="92">
                  <c:v>3.5102906472605512E-14</c:v>
                </c:pt>
                <c:pt idx="93">
                  <c:v>-0.32418921877465584</c:v>
                </c:pt>
                <c:pt idx="94">
                  <c:v>-0.46385135238020869</c:v>
                </c:pt>
                <c:pt idx="95">
                  <c:v>-0.33197496235666701</c:v>
                </c:pt>
                <c:pt idx="96">
                  <c:v>-4.8680849987851453E-14</c:v>
                </c:pt>
                <c:pt idx="97">
                  <c:v>0.34036259625370424</c:v>
                </c:pt>
                <c:pt idx="98">
                  <c:v>0.48749145719300102</c:v>
                </c:pt>
                <c:pt idx="99">
                  <c:v>0.34911562231190324</c:v>
                </c:pt>
                <c:pt idx="100">
                  <c:v>5.659787052034184E-14</c:v>
                </c:pt>
                <c:pt idx="101">
                  <c:v>-0.35799115887463495</c:v>
                </c:pt>
                <c:pt idx="102">
                  <c:v>-0.51250854280699709</c:v>
                </c:pt>
                <c:pt idx="103">
                  <c:v>-0.36674418493285582</c:v>
                </c:pt>
                <c:pt idx="104">
                  <c:v>-7.2502862884908112E-14</c:v>
                </c:pt>
                <c:pt idx="105">
                  <c:v>0.3751318188298548</c:v>
                </c:pt>
                <c:pt idx="106">
                  <c:v>0.53614864761978964</c:v>
                </c:pt>
                <c:pt idx="107">
                  <c:v>0.38291756241192604</c:v>
                </c:pt>
                <c:pt idx="108">
                  <c:v>8.9195538329974165E-14</c:v>
                </c:pt>
                <c:pt idx="109">
                  <c:v>-0.38987544205321406</c:v>
                </c:pt>
                <c:pt idx="110">
                  <c:v>-0.5557536515835042</c:v>
                </c:pt>
                <c:pt idx="111">
                  <c:v>-0.39579397963170843</c:v>
                </c:pt>
                <c:pt idx="112">
                  <c:v>-1.0599331527832998E-13</c:v>
                </c:pt>
                <c:pt idx="113">
                  <c:v>0.40047992921722547</c:v>
                </c:pt>
                <c:pt idx="114">
                  <c:v>0.56894679024214267</c:v>
                </c:pt>
                <c:pt idx="115">
                  <c:v>0.40376171896487467</c:v>
                </c:pt>
                <c:pt idx="116">
                  <c:v>1.2203817164317035E-13</c:v>
                </c:pt>
                <c:pt idx="117">
                  <c:v>-0.40549254236842575</c:v>
                </c:pt>
                <c:pt idx="118">
                  <c:v>-0.57380005149740454</c:v>
                </c:pt>
                <c:pt idx="119">
                  <c:v>-0.40555304861094338</c:v>
                </c:pt>
                <c:pt idx="120">
                  <c:v>-1.3637935300488211E-13</c:v>
                </c:pt>
                <c:pt idx="121">
                  <c:v>0.40385358809359106</c:v>
                </c:pt>
                <c:pt idx="122">
                  <c:v>0.56897265219600057</c:v>
                </c:pt>
                <c:pt idx="123">
                  <c:v>0.40033597630634393</c:v>
                </c:pt>
                <c:pt idx="124">
                  <c:v>1.4007394971513396E-13</c:v>
                </c:pt>
                <c:pt idx="125">
                  <c:v>-0.39497474683047928</c:v>
                </c:pt>
                <c:pt idx="126">
                  <c:v>-0.55381162020137376</c:v>
                </c:pt>
                <c:pt idx="127">
                  <c:v>-0.3877778724004885</c:v>
                </c:pt>
                <c:pt idx="128">
                  <c:v>-1.4856459833008779E-13</c:v>
                </c:pt>
                <c:pt idx="129">
                  <c:v>0.37878694138072411</c:v>
                </c:pt>
                <c:pt idx="130">
                  <c:v>0.52840790438404406</c:v>
                </c:pt>
                <c:pt idx="131">
                  <c:v>0.3680767856938198</c:v>
                </c:pt>
                <c:pt idx="132">
                  <c:v>1.5307512319013922E-13</c:v>
                </c:pt>
                <c:pt idx="133">
                  <c:v>-0.35575456493543767</c:v>
                </c:pt>
                <c:pt idx="134">
                  <c:v>-0.49360424909163414</c:v>
                </c:pt>
                <c:pt idx="135">
                  <c:v>-0.34195832008991323</c:v>
                </c:pt>
                <c:pt idx="136">
                  <c:v>-1.5325295079924473E-13</c:v>
                </c:pt>
                <c:pt idx="137">
                  <c:v>0.32685501868026323</c:v>
                </c:pt>
                <c:pt idx="138">
                  <c:v>0.45095412400809226</c:v>
                </c:pt>
                <c:pt idx="139">
                  <c:v>0.31063812131872776</c:v>
                </c:pt>
                <c:pt idx="140">
                  <c:v>1.4910071352534888E-13</c:v>
                </c:pt>
                <c:pt idx="141">
                  <c:v>-0.29352470723283697</c:v>
                </c:pt>
                <c:pt idx="142">
                  <c:v>-0.4026341025946224</c:v>
                </c:pt>
                <c:pt idx="143">
                  <c:v>-0.27575220341616846</c:v>
                </c:pt>
                <c:pt idx="144">
                  <c:v>-1.3565962849622579E-13</c:v>
                </c:pt>
                <c:pt idx="145">
                  <c:v>0.25757476837132098</c:v>
                </c:pt>
                <c:pt idx="146">
                  <c:v>0.35131503717008178</c:v>
                </c:pt>
                <c:pt idx="147">
                  <c:v>0.23925938698316496</c:v>
                </c:pt>
                <c:pt idx="148">
                  <c:v>1.2519570534054827E-13</c:v>
                </c:pt>
                <c:pt idx="149">
                  <c:v>-0.22108173768886347</c:v>
                </c:pt>
                <c:pt idx="150">
                  <c:v>-0.30000000000000648</c:v>
                </c:pt>
                <c:pt idx="151">
                  <c:v>-0.20332189682767027</c:v>
                </c:pt>
                <c:pt idx="152">
                  <c:v>-1.1279170231920267E-13</c:v>
                </c:pt>
                <c:pt idx="153">
                  <c:v>0.18625994769851034</c:v>
                </c:pt>
                <c:pt idx="154">
                  <c:v>0.25183908230413959</c:v>
                </c:pt>
                <c:pt idx="155">
                  <c:v>0.17017156348172732</c:v>
                </c:pt>
                <c:pt idx="156">
                  <c:v>9.9934731420349226E-14</c:v>
                </c:pt>
                <c:pt idx="157">
                  <c:v>-0.15532363367421517</c:v>
                </c:pt>
                <c:pt idx="158">
                  <c:v>-0.20993263295393599</c:v>
                </c:pt>
                <c:pt idx="159">
                  <c:v>-0.14197000312456176</c:v>
                </c:pt>
                <c:pt idx="160">
                  <c:v>-8.8358495384759953E-14</c:v>
                </c:pt>
                <c:pt idx="161">
                  <c:v>0.1303473910616508</c:v>
                </c:pt>
                <c:pt idx="162">
                  <c:v>0.17713528163661596</c:v>
                </c:pt>
                <c:pt idx="163">
                  <c:v>0.12067155479165384</c:v>
                </c:pt>
                <c:pt idx="164">
                  <c:v>7.7588362944002411E-14</c:v>
                </c:pt>
                <c:pt idx="165">
                  <c:v>-0.11313375896267518</c:v>
                </c:pt>
                <c:pt idx="166">
                  <c:v>-0.15587307889082658</c:v>
                </c:pt>
                <c:pt idx="167">
                  <c:v>-0.10789760659236083</c:v>
                </c:pt>
                <c:pt idx="168">
                  <c:v>-7.6530458364701121E-14</c:v>
                </c:pt>
                <c:pt idx="169">
                  <c:v>0.1050962824299029</c:v>
                </c:pt>
                <c:pt idx="170">
                  <c:v>0.14798529786597989</c:v>
                </c:pt>
                <c:pt idx="171">
                  <c:v>0.10483025283001798</c:v>
                </c:pt>
                <c:pt idx="172">
                  <c:v>7.7769939034269176E-14</c:v>
                </c:pt>
                <c:pt idx="173">
                  <c:v>-0.10716545919459129</c:v>
                </c:pt>
                <c:pt idx="174">
                  <c:v>-0.15460092883006096</c:v>
                </c:pt>
                <c:pt idx="175">
                  <c:v>-0.11213203435602136</c:v>
                </c:pt>
                <c:pt idx="176">
                  <c:v>-8.684173249146513E-14</c:v>
                </c:pt>
                <c:pt idx="177">
                  <c:v>0.11972356310044083</c:v>
                </c:pt>
                <c:pt idx="178">
                  <c:v>0.17605775190451925</c:v>
                </c:pt>
                <c:pt idx="179">
                  <c:v>0.1298968995428946</c:v>
                </c:pt>
                <c:pt idx="180">
                  <c:v>1.0964746729654017E-13</c:v>
                </c:pt>
                <c:pt idx="181">
                  <c:v>-0.1425725453470145</c:v>
                </c:pt>
                <c:pt idx="182">
                  <c:v>-0.21186923051098902</c:v>
                </c:pt>
                <c:pt idx="183">
                  <c:v>-0.15763558402536415</c:v>
                </c:pt>
                <c:pt idx="184">
                  <c:v>-1.3644993364640295E-13</c:v>
                </c:pt>
                <c:pt idx="185">
                  <c:v>0.17493715783760733</c:v>
                </c:pt>
                <c:pt idx="186">
                  <c:v>0.26074149313181738</c:v>
                </c:pt>
                <c:pt idx="187">
                  <c:v>0.19429646532864248</c:v>
                </c:pt>
                <c:pt idx="188">
                  <c:v>1.7957735264648509E-13</c:v>
                </c:pt>
                <c:pt idx="189">
                  <c:v>-0.21550324937457946</c:v>
                </c:pt>
                <c:pt idx="190">
                  <c:v>-0.32063955066650296</c:v>
                </c:pt>
                <c:pt idx="191">
                  <c:v>-0.23832073794497874</c:v>
                </c:pt>
                <c:pt idx="192">
                  <c:v>-2.2337320162193355E-13</c:v>
                </c:pt>
                <c:pt idx="193">
                  <c:v>0.26248899266990205</c:v>
                </c:pt>
                <c:pt idx="194">
                  <c:v>0.3888988265459048</c:v>
                </c:pt>
                <c:pt idx="195">
                  <c:v>0.28772861394031751</c:v>
                </c:pt>
                <c:pt idx="196">
                  <c:v>2.7294843896945366E-13</c:v>
                </c:pt>
                <c:pt idx="197">
                  <c:v>-0.31374474564809851</c:v>
                </c:pt>
                <c:pt idx="198">
                  <c:v>-0.46237524938126068</c:v>
                </c:pt>
                <c:pt idx="199">
                  <c:v>-0.34023131801354017</c:v>
                </c:pt>
                <c:pt idx="200">
                  <c:v>-3.4056941648390499E-13</c:v>
                </c:pt>
                <c:pt idx="201">
                  <c:v>0.36687546317296443</c:v>
                </c:pt>
                <c:pt idx="202">
                  <c:v>0.53762475061870729</c:v>
                </c:pt>
                <c:pt idx="203">
                  <c:v>0.39336203553848648</c:v>
                </c:pt>
                <c:pt idx="204">
                  <c:v>3.9771849289202552E-13</c:v>
                </c:pt>
                <c:pt idx="205">
                  <c:v>-0.41937816724610066</c:v>
                </c:pt>
                <c:pt idx="206">
                  <c:v>-0.61110117345406467</c:v>
                </c:pt>
                <c:pt idx="207">
                  <c:v>-0.44461778851678146</c:v>
                </c:pt>
                <c:pt idx="208">
                  <c:v>-4.7236951243295864E-13</c:v>
                </c:pt>
                <c:pt idx="209">
                  <c:v>0.46878604324135409</c:v>
                </c:pt>
                <c:pt idx="210">
                  <c:v>0.67936044933346895</c:v>
                </c:pt>
                <c:pt idx="211">
                  <c:v>0.49160353181217792</c:v>
                </c:pt>
                <c:pt idx="212">
                  <c:v>5.2714709724432279E-13</c:v>
                </c:pt>
                <c:pt idx="213">
                  <c:v>-0.51281031585762549</c:v>
                </c:pt>
                <c:pt idx="214">
                  <c:v>-0.73925850686815919</c:v>
                </c:pt>
                <c:pt idx="215">
                  <c:v>-0.53216962334922147</c:v>
                </c:pt>
                <c:pt idx="216">
                  <c:v>-5.7596528874596193E-13</c:v>
                </c:pt>
                <c:pt idx="217">
                  <c:v>0.54947119716082993</c:v>
                </c:pt>
                <c:pt idx="218">
                  <c:v>0.78813076948899274</c:v>
                </c:pt>
                <c:pt idx="219">
                  <c:v>0.56453423583988505</c:v>
                </c:pt>
                <c:pt idx="220">
                  <c:v>6.396598692900982E-13</c:v>
                </c:pt>
                <c:pt idx="221">
                  <c:v>-0.57720988164325826</c:v>
                </c:pt>
                <c:pt idx="222">
                  <c:v>-0.82394224809546845</c:v>
                </c:pt>
                <c:pt idx="223">
                  <c:v>-0.58738321808650173</c:v>
                </c:pt>
                <c:pt idx="224">
                  <c:v>-6.7144186660875532E-13</c:v>
                </c:pt>
                <c:pt idx="225">
                  <c:v>0.59497474683010088</c:v>
                </c:pt>
                <c:pt idx="226">
                  <c:v>0.84539907116993307</c:v>
                </c:pt>
                <c:pt idx="227">
                  <c:v>0.59994132199240047</c:v>
                </c:pt>
                <c:pt idx="228">
                  <c:v>7.1605950036812596E-13</c:v>
                </c:pt>
                <c:pt idx="229">
                  <c:v>-0.60227652835607437</c:v>
                </c:pt>
                <c:pt idx="230">
                  <c:v>-0.85201470213402042</c:v>
                </c:pt>
                <c:pt idx="231">
                  <c:v>-0.60201049875710377</c:v>
                </c:pt>
                <c:pt idx="232">
                  <c:v>-7.2460738453565266E-13</c:v>
                </c:pt>
                <c:pt idx="233">
                  <c:v>0.59920917459372924</c:v>
                </c:pt>
                <c:pt idx="234">
                  <c:v>0.84412692110917986</c:v>
                </c:pt>
                <c:pt idx="235">
                  <c:v>0.59397302222433546</c:v>
                </c:pt>
                <c:pt idx="236">
                  <c:v>7.2102232379357972E-13</c:v>
                </c:pt>
                <c:pt idx="237">
                  <c:v>-0.58643522639443291</c:v>
                </c:pt>
                <c:pt idx="238">
                  <c:v>-0.82286471836339581</c:v>
                </c:pt>
                <c:pt idx="239">
                  <c:v>-0.57675939012536459</c:v>
                </c:pt>
                <c:pt idx="240">
                  <c:v>-7.2911734482071695E-13</c:v>
                </c:pt>
                <c:pt idx="241">
                  <c:v>0.56513677806154761</c:v>
                </c:pt>
                <c:pt idx="242">
                  <c:v>0.79006736704608016</c:v>
                </c:pt>
                <c:pt idx="243">
                  <c:v>0.55178314751277902</c:v>
                </c:pt>
                <c:pt idx="244">
                  <c:v>7.034027261114396E-13</c:v>
                </c:pt>
                <c:pt idx="245">
                  <c:v>-0.5369352177044151</c:v>
                </c:pt>
                <c:pt idx="246">
                  <c:v>-0.74816091769587989</c:v>
                </c:pt>
                <c:pt idx="247">
                  <c:v>-0.52084683348846939</c:v>
                </c:pt>
                <c:pt idx="248">
                  <c:v>-6.9033315547279329E-13</c:v>
                </c:pt>
                <c:pt idx="249">
                  <c:v>0.50378488435849389</c:v>
                </c:pt>
                <c:pt idx="250">
                  <c:v>0.70000000000001539</c:v>
                </c:pt>
                <c:pt idx="251">
                  <c:v>0.48602504349808101</c:v>
                </c:pt>
                <c:pt idx="252">
                  <c:v>6.4984738152111501E-13</c:v>
                </c:pt>
                <c:pt idx="253">
                  <c:v>-0.46784739420303795</c:v>
                </c:pt>
                <c:pt idx="254">
                  <c:v>-0.64868496282994081</c:v>
                </c:pt>
                <c:pt idx="255">
                  <c:v>-0.44953201281558164</c:v>
                </c:pt>
                <c:pt idx="256">
                  <c:v>-6.0674842500175747E-13</c:v>
                </c:pt>
                <c:pt idx="257">
                  <c:v>0.43135457777005903</c:v>
                </c:pt>
                <c:pt idx="258">
                  <c:v>0.59736589740539947</c:v>
                </c:pt>
                <c:pt idx="259">
                  <c:v>0.41358207395404062</c:v>
                </c:pt>
                <c:pt idx="260">
                  <c:v>5.8031532177794473E-13</c:v>
                </c:pt>
                <c:pt idx="261">
                  <c:v>-0.39646865986753455</c:v>
                </c:pt>
                <c:pt idx="262">
                  <c:v>-0.54904587599192767</c:v>
                </c:pt>
                <c:pt idx="263">
                  <c:v>-0.38025176250657955</c:v>
                </c:pt>
                <c:pt idx="264">
                  <c:v>-5.3959112402673888E-13</c:v>
                </c:pt>
                <c:pt idx="265">
                  <c:v>0.36514846109638177</c:v>
                </c:pt>
                <c:pt idx="266">
                  <c:v>0.50639575090838285</c:v>
                </c:pt>
                <c:pt idx="267">
                  <c:v>0.35135221625138663</c:v>
                </c:pt>
                <c:pt idx="268">
                  <c:v>5.1881406448602108E-13</c:v>
                </c:pt>
                <c:pt idx="269">
                  <c:v>-0.33902999549248536</c:v>
                </c:pt>
                <c:pt idx="270">
                  <c:v>-0.47159209561596915</c:v>
                </c:pt>
                <c:pt idx="271">
                  <c:v>-0.32831983980607904</c:v>
                </c:pt>
                <c:pt idx="272">
                  <c:v>-4.9157579227412956E-13</c:v>
                </c:pt>
                <c:pt idx="273">
                  <c:v>0.31932890878582731</c:v>
                </c:pt>
                <c:pt idx="274">
                  <c:v>0.44618837979863507</c:v>
                </c:pt>
                <c:pt idx="275">
                  <c:v>0.31213203435630643</c:v>
                </c:pt>
                <c:pt idx="276">
                  <c:v>4.7444094671036015E-13</c:v>
                </c:pt>
                <c:pt idx="277">
                  <c:v>-0.30677080487996361</c:v>
                </c:pt>
                <c:pt idx="278">
                  <c:v>-0.43102734780400376</c:v>
                </c:pt>
                <c:pt idx="279">
                  <c:v>-0.30325319309320153</c:v>
                </c:pt>
                <c:pt idx="280">
                  <c:v>-4.8038987684902682E-13</c:v>
                </c:pt>
                <c:pt idx="281">
                  <c:v>0.30155373257535478</c:v>
                </c:pt>
                <c:pt idx="282">
                  <c:v>0.42619994850259535</c:v>
                </c:pt>
                <c:pt idx="283">
                  <c:v>0.30161423881837501</c:v>
                </c:pt>
                <c:pt idx="284">
                  <c:v>4.8515513150347284E-13</c:v>
                </c:pt>
                <c:pt idx="285">
                  <c:v>-0.30334506222141061</c:v>
                </c:pt>
                <c:pt idx="286">
                  <c:v>-0.43105320975785327</c:v>
                </c:pt>
                <c:pt idx="287">
                  <c:v>-0.30662685196960138</c:v>
                </c:pt>
                <c:pt idx="288">
                  <c:v>-5.1275095045438686E-13</c:v>
                </c:pt>
                <c:pt idx="289">
                  <c:v>0.31131280155454161</c:v>
                </c:pt>
                <c:pt idx="290">
                  <c:v>0.44424634841648863</c:v>
                </c:pt>
                <c:pt idx="291">
                  <c:v>0.31723133913363832</c:v>
                </c:pt>
                <c:pt idx="292">
                  <c:v>5.3721317082308839E-13</c:v>
                </c:pt>
                <c:pt idx="293">
                  <c:v>-0.32418921877429169</c:v>
                </c:pt>
                <c:pt idx="294">
                  <c:v>-0.46385135238020103</c:v>
                </c:pt>
                <c:pt idx="295">
                  <c:v>-0.331974962357029</c:v>
                </c:pt>
                <c:pt idx="296">
                  <c:v>-5.6833563822939527E-13</c:v>
                </c:pt>
                <c:pt idx="297">
                  <c:v>0.3403625962533165</c:v>
                </c:pt>
                <c:pt idx="298">
                  <c:v>0.48749145719299236</c:v>
                </c:pt>
                <c:pt idx="299">
                  <c:v>0.34911562231228838</c:v>
                </c:pt>
                <c:pt idx="300">
                  <c:v>6.174355350898766E-13</c:v>
                </c:pt>
                <c:pt idx="301">
                  <c:v>-0.35799115887423211</c:v>
                </c:pt>
                <c:pt idx="302">
                  <c:v>-0.51250854280698821</c:v>
                </c:pt>
                <c:pt idx="303">
                  <c:v>-0.36674418493325583</c:v>
                </c:pt>
                <c:pt idx="304">
                  <c:v>-6.5355772240612709E-13</c:v>
                </c:pt>
                <c:pt idx="305">
                  <c:v>0.37513181882943358</c:v>
                </c:pt>
                <c:pt idx="306">
                  <c:v>0.53614864761978165</c:v>
                </c:pt>
                <c:pt idx="307">
                  <c:v>0.38291756241235025</c:v>
                </c:pt>
                <c:pt idx="308">
                  <c:v>7.0231758288407228E-13</c:v>
                </c:pt>
                <c:pt idx="309">
                  <c:v>-0.38987544205277208</c:v>
                </c:pt>
                <c:pt idx="310">
                  <c:v>-0.55575365158349821</c:v>
                </c:pt>
                <c:pt idx="311">
                  <c:v>-0.39579397963214297</c:v>
                </c:pt>
                <c:pt idx="312">
                  <c:v>-7.2981089981511777E-13</c:v>
                </c:pt>
                <c:pt idx="313">
                  <c:v>0.40047992921679065</c:v>
                </c:pt>
                <c:pt idx="314">
                  <c:v>0.56894679024213957</c:v>
                </c:pt>
                <c:pt idx="315">
                  <c:v>0.40376171896529145</c:v>
                </c:pt>
                <c:pt idx="316">
                  <c:v>6.9912655189106907E-13</c:v>
                </c:pt>
                <c:pt idx="317">
                  <c:v>-0.40549254236802795</c:v>
                </c:pt>
                <c:pt idx="318">
                  <c:v>-0.57380005149740454</c:v>
                </c:pt>
                <c:pt idx="319">
                  <c:v>-0.40555304861131813</c:v>
                </c:pt>
                <c:pt idx="320">
                  <c:v>-6.4036709189178062E-13</c:v>
                </c:pt>
                <c:pt idx="321">
                  <c:v>0.40385358809324851</c:v>
                </c:pt>
                <c:pt idx="322">
                  <c:v>0.56897265219600324</c:v>
                </c:pt>
                <c:pt idx="323">
                  <c:v>0.40033597630667572</c:v>
                </c:pt>
                <c:pt idx="324">
                  <c:v>5.8731911530000411E-13</c:v>
                </c:pt>
                <c:pt idx="325">
                  <c:v>-0.39497474683018524</c:v>
                </c:pt>
                <c:pt idx="326">
                  <c:v>-0.55381162020137853</c:v>
                </c:pt>
                <c:pt idx="327">
                  <c:v>-0.38777787240076184</c:v>
                </c:pt>
                <c:pt idx="328">
                  <c:v>-5.1027618965050606E-13</c:v>
                </c:pt>
                <c:pt idx="329">
                  <c:v>0.3787869413804863</c:v>
                </c:pt>
                <c:pt idx="330">
                  <c:v>0.52840790438404994</c:v>
                </c:pt>
                <c:pt idx="331">
                  <c:v>0.36807678569403313</c:v>
                </c:pt>
                <c:pt idx="332">
                  <c:v>4.2911243843785507E-13</c:v>
                </c:pt>
                <c:pt idx="333">
                  <c:v>-0.3557545649352401</c:v>
                </c:pt>
                <c:pt idx="334">
                  <c:v>-0.49360424909164058</c:v>
                </c:pt>
                <c:pt idx="335">
                  <c:v>-0.34195832009008736</c:v>
                </c:pt>
                <c:pt idx="336">
                  <c:v>-3.7466982870963889E-13</c:v>
                </c:pt>
                <c:pt idx="337">
                  <c:v>0.3268550186801239</c:v>
                </c:pt>
                <c:pt idx="338">
                  <c:v>0.45095412400809853</c:v>
                </c:pt>
                <c:pt idx="339">
                  <c:v>0.31063812131885071</c:v>
                </c:pt>
                <c:pt idx="340">
                  <c:v>2.9443173720789865E-13</c:v>
                </c:pt>
                <c:pt idx="341">
                  <c:v>-0.29352470723274926</c:v>
                </c:pt>
                <c:pt idx="342">
                  <c:v>-0.40263410259462712</c:v>
                </c:pt>
                <c:pt idx="343">
                  <c:v>-0.27575220341624213</c:v>
                </c:pt>
                <c:pt idx="344">
                  <c:v>-2.2104712884705838E-13</c:v>
                </c:pt>
                <c:pt idx="345">
                  <c:v>0.25757476837127607</c:v>
                </c:pt>
                <c:pt idx="346">
                  <c:v>0.35131503717008478</c:v>
                </c:pt>
                <c:pt idx="347">
                  <c:v>0.23925938698321053</c:v>
                </c:pt>
                <c:pt idx="348">
                  <c:v>1.7575195531863871E-13</c:v>
                </c:pt>
                <c:pt idx="349">
                  <c:v>-0.22108173768883649</c:v>
                </c:pt>
                <c:pt idx="350">
                  <c:v>-0.30000000000000726</c:v>
                </c:pt>
                <c:pt idx="351">
                  <c:v>-0.20332189682768215</c:v>
                </c:pt>
                <c:pt idx="352">
                  <c:v>-1.2034656960790285E-13</c:v>
                </c:pt>
                <c:pt idx="353">
                  <c:v>0.18625994769851056</c:v>
                </c:pt>
                <c:pt idx="354">
                  <c:v>0.25183908230413904</c:v>
                </c:pt>
                <c:pt idx="355">
                  <c:v>0.17017156348171425</c:v>
                </c:pt>
                <c:pt idx="356">
                  <c:v>7.683762465963008E-14</c:v>
                </c:pt>
                <c:pt idx="357">
                  <c:v>-0.15532363367423405</c:v>
                </c:pt>
                <c:pt idx="358">
                  <c:v>-0.20993263295393447</c:v>
                </c:pt>
                <c:pt idx="359">
                  <c:v>-0.14197000312453403</c:v>
                </c:pt>
                <c:pt idx="360">
                  <c:v>-4.4461270786090002E-14</c:v>
                </c:pt>
                <c:pt idx="361">
                  <c:v>0.13034739106167539</c:v>
                </c:pt>
                <c:pt idx="362">
                  <c:v>0.17713528163661368</c:v>
                </c:pt>
                <c:pt idx="363">
                  <c:v>0.12067155479162139</c:v>
                </c:pt>
                <c:pt idx="364">
                  <c:v>3.0549890871238905E-14</c:v>
                </c:pt>
                <c:pt idx="365">
                  <c:v>-0.11313375896270943</c:v>
                </c:pt>
                <c:pt idx="366">
                  <c:v>-0.15587307889082486</c:v>
                </c:pt>
                <c:pt idx="367">
                  <c:v>-0.1078976065923198</c:v>
                </c:pt>
                <c:pt idx="368">
                  <c:v>-1.2362066235041316E-14</c:v>
                </c:pt>
                <c:pt idx="369">
                  <c:v>0.10509628242995035</c:v>
                </c:pt>
                <c:pt idx="370">
                  <c:v>0.14798529786597978</c:v>
                </c:pt>
                <c:pt idx="371">
                  <c:v>0.10483025282996457</c:v>
                </c:pt>
                <c:pt idx="372">
                  <c:v>-3.0762514333804709E-15</c:v>
                </c:pt>
                <c:pt idx="373">
                  <c:v>-0.10716545919465358</c:v>
                </c:pt>
                <c:pt idx="374">
                  <c:v>-0.15460092883006363</c:v>
                </c:pt>
                <c:pt idx="375">
                  <c:v>-0.11213203435595989</c:v>
                </c:pt>
                <c:pt idx="376">
                  <c:v>1.0895967254280918E-14</c:v>
                </c:pt>
                <c:pt idx="377">
                  <c:v>0.11972356310052283</c:v>
                </c:pt>
                <c:pt idx="378">
                  <c:v>0.17605775190452549</c:v>
                </c:pt>
                <c:pt idx="379">
                  <c:v>0.12989689954280745</c:v>
                </c:pt>
                <c:pt idx="380">
                  <c:v>-3.2593693193561507E-14</c:v>
                </c:pt>
                <c:pt idx="381">
                  <c:v>-0.14257254534713082</c:v>
                </c:pt>
                <c:pt idx="382">
                  <c:v>-0.21186923051099948</c:v>
                </c:pt>
                <c:pt idx="383">
                  <c:v>-0.15763558402524247</c:v>
                </c:pt>
                <c:pt idx="384">
                  <c:v>6.3969275352045577E-14</c:v>
                </c:pt>
                <c:pt idx="385">
                  <c:v>0.1749371578377717</c:v>
                </c:pt>
                <c:pt idx="386">
                  <c:v>0.26074149313183315</c:v>
                </c:pt>
                <c:pt idx="387">
                  <c:v>0.19429646532846653</c:v>
                </c:pt>
                <c:pt idx="388">
                  <c:v>-1.0865577759633597E-13</c:v>
                </c:pt>
                <c:pt idx="389">
                  <c:v>-0.2155032493748022</c:v>
                </c:pt>
                <c:pt idx="390">
                  <c:v>-0.32063955066652383</c:v>
                </c:pt>
                <c:pt idx="391">
                  <c:v>-0.23832073794475053</c:v>
                </c:pt>
                <c:pt idx="392">
                  <c:v>1.4914866772120241E-13</c:v>
                </c:pt>
                <c:pt idx="393">
                  <c:v>0.2624889926702032</c:v>
                </c:pt>
                <c:pt idx="394">
                  <c:v>0.38889882654592989</c:v>
                </c:pt>
                <c:pt idx="395">
                  <c:v>0.28772861394000893</c:v>
                </c:pt>
                <c:pt idx="396">
                  <c:v>-2.2294514147702458E-13</c:v>
                </c:pt>
                <c:pt idx="397">
                  <c:v>-0.31374474564850219</c:v>
                </c:pt>
                <c:pt idx="398">
                  <c:v>-0.46237524938129015</c:v>
                </c:pt>
                <c:pt idx="399">
                  <c:v>-0.34023131801312573</c:v>
                </c:pt>
                <c:pt idx="400">
                  <c:v>3.1362099709631751E-13</c:v>
                </c:pt>
                <c:pt idx="401">
                  <c:v>0.36687546317347736</c:v>
                </c:pt>
                <c:pt idx="402">
                  <c:v>0.53762475061873893</c:v>
                </c:pt>
                <c:pt idx="403">
                  <c:v>0.39336203553798355</c:v>
                </c:pt>
                <c:pt idx="404">
                  <c:v>-3.8701871671699904E-13</c:v>
                </c:pt>
                <c:pt idx="405">
                  <c:v>-0.41937816724670823</c:v>
                </c:pt>
                <c:pt idx="406">
                  <c:v>-0.61110117345409776</c:v>
                </c:pt>
                <c:pt idx="407">
                  <c:v>-0.44461778851614725</c:v>
                </c:pt>
                <c:pt idx="408">
                  <c:v>5.0150119084555644E-13</c:v>
                </c:pt>
                <c:pt idx="409">
                  <c:v>0.46878604324209688</c:v>
                </c:pt>
                <c:pt idx="410">
                  <c:v>0.67936044933350115</c:v>
                </c:pt>
                <c:pt idx="411">
                  <c:v>0.49160353181141708</c:v>
                </c:pt>
                <c:pt idx="412">
                  <c:v>-6.2464300290291833E-13</c:v>
                </c:pt>
                <c:pt idx="413">
                  <c:v>-0.5128103158584929</c:v>
                </c:pt>
                <c:pt idx="414">
                  <c:v>-0.73925850686818817</c:v>
                </c:pt>
                <c:pt idx="415">
                  <c:v>-0.5321696233483334</c:v>
                </c:pt>
                <c:pt idx="416">
                  <c:v>7.5146041131148146E-13</c:v>
                </c:pt>
                <c:pt idx="417">
                  <c:v>0.54947119716180126</c:v>
                </c:pt>
                <c:pt idx="418">
                  <c:v>0.78813076948901706</c:v>
                </c:pt>
                <c:pt idx="419">
                  <c:v>0.5645342358388894</c:v>
                </c:pt>
                <c:pt idx="420">
                  <c:v>-8.3045559135671229E-13</c:v>
                </c:pt>
                <c:pt idx="421">
                  <c:v>-0.57720988164433851</c:v>
                </c:pt>
                <c:pt idx="422">
                  <c:v>-0.82394224809548566</c:v>
                </c:pt>
                <c:pt idx="423">
                  <c:v>-0.5873832180853934</c:v>
                </c:pt>
                <c:pt idx="424">
                  <c:v>9.4609196804410938E-13</c:v>
                </c:pt>
                <c:pt idx="425">
                  <c:v>0.59497474683127616</c:v>
                </c:pt>
                <c:pt idx="426">
                  <c:v>0.84539907116994184</c:v>
                </c:pt>
                <c:pt idx="427">
                  <c:v>0.59994132199117689</c:v>
                </c:pt>
                <c:pt idx="428">
                  <c:v>-1.0495050685358867E-12</c:v>
                </c:pt>
                <c:pt idx="429">
                  <c:v>-0.60227652835734291</c:v>
                </c:pt>
                <c:pt idx="430">
                  <c:v>-0.85201470213401997</c:v>
                </c:pt>
                <c:pt idx="431">
                  <c:v>-0.6020104987558349</c:v>
                </c:pt>
                <c:pt idx="432">
                  <c:v>1.0877510354553568E-12</c:v>
                </c:pt>
                <c:pt idx="433">
                  <c:v>0.59920917459501866</c:v>
                </c:pt>
                <c:pt idx="434">
                  <c:v>0.84412692110916943</c:v>
                </c:pt>
                <c:pt idx="435">
                  <c:v>0.59397302222300896</c:v>
                </c:pt>
                <c:pt idx="436">
                  <c:v>-1.1547887510925501E-12</c:v>
                </c:pt>
                <c:pt idx="437">
                  <c:v>-0.58643522639577095</c:v>
                </c:pt>
                <c:pt idx="438">
                  <c:v>-0.82286471836337571</c:v>
                </c:pt>
                <c:pt idx="439">
                  <c:v>-0.57675939012398758</c:v>
                </c:pt>
                <c:pt idx="440">
                  <c:v>1.2001612645547798E-12</c:v>
                </c:pt>
                <c:pt idx="441">
                  <c:v>0.56513677806289442</c:v>
                </c:pt>
                <c:pt idx="442">
                  <c:v>0.79006736704605085</c:v>
                </c:pt>
                <c:pt idx="443">
                  <c:v>0.55178314751139224</c:v>
                </c:pt>
                <c:pt idx="444">
                  <c:v>-1.223414667837911E-12</c:v>
                </c:pt>
                <c:pt idx="445">
                  <c:v>-0.53693521770571839</c:v>
                </c:pt>
                <c:pt idx="446">
                  <c:v>-0.74816091769584325</c:v>
                </c:pt>
                <c:pt idx="447">
                  <c:v>-0.52084683348710936</c:v>
                </c:pt>
                <c:pt idx="448">
                  <c:v>1.1846525413751732E-12</c:v>
                </c:pt>
                <c:pt idx="449">
                  <c:v>0.50378488435978241</c:v>
                </c:pt>
                <c:pt idx="450">
                  <c:v>0.6999999999999732</c:v>
                </c:pt>
                <c:pt idx="451">
                  <c:v>0.4860250434967513</c:v>
                </c:pt>
                <c:pt idx="452">
                  <c:v>-1.1721117215792139E-12</c:v>
                </c:pt>
                <c:pt idx="453">
                  <c:v>-0.46784739420428317</c:v>
                </c:pt>
                <c:pt idx="454">
                  <c:v>-0.64868496282989507</c:v>
                </c:pt>
                <c:pt idx="455">
                  <c:v>-0.44953201281429711</c:v>
                </c:pt>
                <c:pt idx="456">
                  <c:v>1.1463578979757947E-12</c:v>
                </c:pt>
                <c:pt idx="457">
                  <c:v>0.43135457777126518</c:v>
                </c:pt>
                <c:pt idx="458">
                  <c:v>0.5973658974053534</c:v>
                </c:pt>
                <c:pt idx="459">
                  <c:v>0.41358207395279684</c:v>
                </c:pt>
                <c:pt idx="460">
                  <c:v>-1.08038003870032E-12</c:v>
                </c:pt>
                <c:pt idx="461">
                  <c:v>-0.39646865986866398</c:v>
                </c:pt>
                <c:pt idx="462">
                  <c:v>-0.5490458759918837</c:v>
                </c:pt>
                <c:pt idx="463">
                  <c:v>-0.38025176250541426</c:v>
                </c:pt>
                <c:pt idx="464">
                  <c:v>1.0482064320079563E-12</c:v>
                </c:pt>
                <c:pt idx="465">
                  <c:v>0.36514846109746435</c:v>
                </c:pt>
                <c:pt idx="466">
                  <c:v>0.50639575090834432</c:v>
                </c:pt>
                <c:pt idx="467">
                  <c:v>0.35135221625026197</c:v>
                </c:pt>
                <c:pt idx="468">
                  <c:v>-1.0208973741306353E-12</c:v>
                </c:pt>
                <c:pt idx="469">
                  <c:v>-0.33902999549354146</c:v>
                </c:pt>
                <c:pt idx="470">
                  <c:v>-0.47159209561593834</c:v>
                </c:pt>
                <c:pt idx="471">
                  <c:v>-0.32831983980499457</c:v>
                </c:pt>
                <c:pt idx="472">
                  <c:v>1.0046854717142032E-12</c:v>
                </c:pt>
                <c:pt idx="473">
                  <c:v>0.31932890878686354</c:v>
                </c:pt>
                <c:pt idx="474">
                  <c:v>0.44618837979861353</c:v>
                </c:pt>
                <c:pt idx="475">
                  <c:v>0.31213203435526377</c:v>
                </c:pt>
                <c:pt idx="476">
                  <c:v>-9.8017330634128829E-13</c:v>
                </c:pt>
                <c:pt idx="477">
                  <c:v>-0.30677080488099201</c:v>
                </c:pt>
                <c:pt idx="478">
                  <c:v>-0.43102734780399288</c:v>
                </c:pt>
                <c:pt idx="479">
                  <c:v>-0.30325319309215265</c:v>
                </c:pt>
                <c:pt idx="480">
                  <c:v>1.001829251000177E-12</c:v>
                </c:pt>
                <c:pt idx="481">
                  <c:v>0.30155373257640744</c:v>
                </c:pt>
                <c:pt idx="482">
                  <c:v>0.42619994850259557</c:v>
                </c:pt>
                <c:pt idx="483">
                  <c:v>0.3016142388173052</c:v>
                </c:pt>
                <c:pt idx="484">
                  <c:v>-1.0461469391781487E-12</c:v>
                </c:pt>
                <c:pt idx="485">
                  <c:v>-0.30334506222251162</c:v>
                </c:pt>
                <c:pt idx="486">
                  <c:v>-0.43105320975786404</c:v>
                </c:pt>
                <c:pt idx="487">
                  <c:v>-0.30662685196847739</c:v>
                </c:pt>
                <c:pt idx="488">
                  <c:v>1.0888518843307391E-12</c:v>
                </c:pt>
                <c:pt idx="489">
                  <c:v>0.31131280155570462</c:v>
                </c:pt>
                <c:pt idx="490">
                  <c:v>0.44424634841650851</c:v>
                </c:pt>
                <c:pt idx="491">
                  <c:v>0.31723133913246337</c:v>
                </c:pt>
                <c:pt idx="492">
                  <c:v>-1.1770755254924232E-12</c:v>
                </c:pt>
                <c:pt idx="493">
                  <c:v>-0.32418921877554463</c:v>
                </c:pt>
                <c:pt idx="494">
                  <c:v>-0.46385135238022779</c:v>
                </c:pt>
                <c:pt idx="495">
                  <c:v>-0.3319749623557654</c:v>
                </c:pt>
                <c:pt idx="496">
                  <c:v>1.2829537315775878E-12</c:v>
                </c:pt>
                <c:pt idx="497">
                  <c:v>0.34036259625468285</c:v>
                </c:pt>
                <c:pt idx="498">
                  <c:v>0.4874914571930235</c:v>
                </c:pt>
                <c:pt idx="499">
                  <c:v>0.34911562231091148</c:v>
                </c:pt>
                <c:pt idx="500">
                  <c:v>-1.40099693114979E-12</c:v>
                </c:pt>
                <c:pt idx="501">
                  <c:v>-0.35799115887571042</c:v>
                </c:pt>
                <c:pt idx="502">
                  <c:v>-0.51250854280702041</c:v>
                </c:pt>
                <c:pt idx="503">
                  <c:v>-0.36674418493178751</c:v>
                </c:pt>
                <c:pt idx="504">
                  <c:v>1.49429368587153E-12</c:v>
                </c:pt>
                <c:pt idx="505">
                  <c:v>0.37513181883100144</c:v>
                </c:pt>
                <c:pt idx="506">
                  <c:v>0.53614864761981096</c:v>
                </c:pt>
                <c:pt idx="507">
                  <c:v>0.38291756241075903</c:v>
                </c:pt>
                <c:pt idx="508">
                  <c:v>-1.6130339717887442E-12</c:v>
                </c:pt>
                <c:pt idx="509">
                  <c:v>-0.38987544205445213</c:v>
                </c:pt>
                <c:pt idx="510">
                  <c:v>-0.55575365158352097</c:v>
                </c:pt>
                <c:pt idx="511">
                  <c:v>-0.39579397963044732</c:v>
                </c:pt>
                <c:pt idx="512">
                  <c:v>1.720197183803172E-12</c:v>
                </c:pt>
                <c:pt idx="513">
                  <c:v>0.40047992921854358</c:v>
                </c:pt>
                <c:pt idx="514">
                  <c:v>0.56894679024215256</c:v>
                </c:pt>
                <c:pt idx="515">
                  <c:v>0.40376171896353075</c:v>
                </c:pt>
                <c:pt idx="516">
                  <c:v>-1.7747570777206277E-12</c:v>
                </c:pt>
                <c:pt idx="517">
                  <c:v>-0.4054925423697826</c:v>
                </c:pt>
                <c:pt idx="518">
                  <c:v>-0.57380005149740476</c:v>
                </c:pt>
                <c:pt idx="519">
                  <c:v>-0.40555304860956337</c:v>
                </c:pt>
                <c:pt idx="520">
                  <c:v>1.8341189074456074E-12</c:v>
                </c:pt>
                <c:pt idx="521">
                  <c:v>0.40385358809498645</c:v>
                </c:pt>
                <c:pt idx="522">
                  <c:v>0.56897265219598947</c:v>
                </c:pt>
                <c:pt idx="523">
                  <c:v>0.40033597630492224</c:v>
                </c:pt>
                <c:pt idx="524">
                  <c:v>-1.8601289106645442E-12</c:v>
                </c:pt>
                <c:pt idx="525">
                  <c:v>-0.39497474683188594</c:v>
                </c:pt>
                <c:pt idx="526">
                  <c:v>-0.55381162020135044</c:v>
                </c:pt>
                <c:pt idx="527">
                  <c:v>-0.3877778723990527</c:v>
                </c:pt>
                <c:pt idx="528">
                  <c:v>1.8486980462210618E-12</c:v>
                </c:pt>
                <c:pt idx="529">
                  <c:v>0.37878694138210622</c:v>
                </c:pt>
                <c:pt idx="530">
                  <c:v>0.52840790438400842</c:v>
                </c:pt>
                <c:pt idx="531">
                  <c:v>0.36807678569242119</c:v>
                </c:pt>
                <c:pt idx="532">
                  <c:v>-1.7691581605490292E-12</c:v>
                </c:pt>
                <c:pt idx="533">
                  <c:v>-0.35575456493675128</c:v>
                </c:pt>
                <c:pt idx="534">
                  <c:v>-0.49360424909158712</c:v>
                </c:pt>
                <c:pt idx="535">
                  <c:v>-0.34195832008856036</c:v>
                </c:pt>
                <c:pt idx="536">
                  <c:v>1.6832423559824864E-12</c:v>
                </c:pt>
                <c:pt idx="537">
                  <c:v>0.32685501868150213</c:v>
                </c:pt>
                <c:pt idx="538">
                  <c:v>0.45095412400803436</c:v>
                </c:pt>
                <c:pt idx="539">
                  <c:v>0.31063812131745383</c:v>
                </c:pt>
                <c:pt idx="540">
                  <c:v>-1.5643101868909979E-12</c:v>
                </c:pt>
                <c:pt idx="541">
                  <c:v>-0.29352470723397756</c:v>
                </c:pt>
                <c:pt idx="542">
                  <c:v>-0.40263410259455751</c:v>
                </c:pt>
                <c:pt idx="543">
                  <c:v>-0.27575220341499235</c:v>
                </c:pt>
                <c:pt idx="544">
                  <c:v>1.3980046613707783E-12</c:v>
                </c:pt>
                <c:pt idx="545">
                  <c:v>0.25757476837233167</c:v>
                </c:pt>
                <c:pt idx="546">
                  <c:v>0.35131503717001311</c:v>
                </c:pt>
                <c:pt idx="547">
                  <c:v>0.23925938698211927</c:v>
                </c:pt>
                <c:pt idx="548">
                  <c:v>-1.2398431894919247E-12</c:v>
                </c:pt>
                <c:pt idx="549">
                  <c:v>-0.22108173768974873</c:v>
                </c:pt>
                <c:pt idx="550">
                  <c:v>-0.29999999999993843</c:v>
                </c:pt>
                <c:pt idx="551">
                  <c:v>-0.2033218968267495</c:v>
                </c:pt>
                <c:pt idx="552">
                  <c:v>1.0771936281387898E-12</c:v>
                </c:pt>
                <c:pt idx="553">
                  <c:v>0.18625994769927429</c:v>
                </c:pt>
                <c:pt idx="554">
                  <c:v>0.25183908230407664</c:v>
                </c:pt>
                <c:pt idx="555">
                  <c:v>0.1701715634809316</c:v>
                </c:pt>
                <c:pt idx="556">
                  <c:v>-9.2319000657229775E-13</c:v>
                </c:pt>
                <c:pt idx="557">
                  <c:v>-0.15532363367487048</c:v>
                </c:pt>
                <c:pt idx="558">
                  <c:v>-0.20993263295388165</c:v>
                </c:pt>
                <c:pt idx="559">
                  <c:v>-0.14197000312389033</c:v>
                </c:pt>
                <c:pt idx="560">
                  <c:v>7.8072388894992973E-13</c:v>
                </c:pt>
                <c:pt idx="561">
                  <c:v>0.13034739106221277</c:v>
                </c:pt>
                <c:pt idx="562">
                  <c:v>0.17713528163657583</c:v>
                </c:pt>
                <c:pt idx="563">
                  <c:v>0.12067155479107239</c:v>
                </c:pt>
                <c:pt idx="564">
                  <c:v>-6.8682220251876835E-13</c:v>
                </c:pt>
                <c:pt idx="565">
                  <c:v>-0.11313375896318376</c:v>
                </c:pt>
                <c:pt idx="566">
                  <c:v>-0.15587307889080435</c:v>
                </c:pt>
                <c:pt idx="567">
                  <c:v>-0.10789760659183932</c:v>
                </c:pt>
                <c:pt idx="568">
                  <c:v>6.4079857949400819E-13</c:v>
                </c:pt>
                <c:pt idx="569">
                  <c:v>0.10509628243040323</c:v>
                </c:pt>
                <c:pt idx="570">
                  <c:v>0.14798529786597875</c:v>
                </c:pt>
                <c:pt idx="571">
                  <c:v>0.10483025282951147</c:v>
                </c:pt>
                <c:pt idx="572">
                  <c:v>-6.4457098556921496E-13</c:v>
                </c:pt>
                <c:pt idx="573">
                  <c:v>-0.1071654591951236</c:v>
                </c:pt>
                <c:pt idx="574">
                  <c:v>-0.15460092883008289</c:v>
                </c:pt>
                <c:pt idx="575">
                  <c:v>-0.11213203435548955</c:v>
                </c:pt>
                <c:pt idx="576">
                  <c:v>7.2197559956305921E-13</c:v>
                </c:pt>
                <c:pt idx="577">
                  <c:v>0.11972356310106839</c:v>
                </c:pt>
                <c:pt idx="578">
                  <c:v>0.17605775190456494</c:v>
                </c:pt>
                <c:pt idx="579">
                  <c:v>0.12989689954227379</c:v>
                </c:pt>
                <c:pt idx="580">
                  <c:v>-8.6870595691792343E-13</c:v>
                </c:pt>
                <c:pt idx="581">
                  <c:v>-0.14257254534778938</c:v>
                </c:pt>
                <c:pt idx="582">
                  <c:v>-0.21186923051105905</c:v>
                </c:pt>
                <c:pt idx="583">
                  <c:v>-0.15763558402460123</c:v>
                </c:pt>
                <c:pt idx="584">
                  <c:v>1.0851617690590861E-12</c:v>
                </c:pt>
                <c:pt idx="585">
                  <c:v>0.17493715783858338</c:v>
                </c:pt>
                <c:pt idx="586">
                  <c:v>0.26074149313190892</c:v>
                </c:pt>
                <c:pt idx="587">
                  <c:v>0.19429646532768929</c:v>
                </c:pt>
                <c:pt idx="588">
                  <c:v>-1.3512335650468577E-12</c:v>
                </c:pt>
                <c:pt idx="589">
                  <c:v>-0.21550324937579993</c:v>
                </c:pt>
                <c:pt idx="590">
                  <c:v>-0.3206395506666132</c:v>
                </c:pt>
                <c:pt idx="591">
                  <c:v>-0.23832073794377909</c:v>
                </c:pt>
                <c:pt idx="592">
                  <c:v>1.6884871360641031E-12</c:v>
                </c:pt>
                <c:pt idx="593">
                  <c:v>0.26248899267141268</c:v>
                </c:pt>
                <c:pt idx="594">
                  <c:v>0.3888988265460287</c:v>
                </c:pt>
                <c:pt idx="595">
                  <c:v>0.28772861393882848</c:v>
                </c:pt>
                <c:pt idx="596">
                  <c:v>-2.0723340173760591E-12</c:v>
                </c:pt>
                <c:pt idx="597">
                  <c:v>-0.31374474564994037</c:v>
                </c:pt>
                <c:pt idx="598">
                  <c:v>-0.46237524938139279</c:v>
                </c:pt>
                <c:pt idx="599">
                  <c:v>-0.34023131801171952</c:v>
                </c:pt>
                <c:pt idx="600">
                  <c:v>2.4599511557733282E-12</c:v>
                </c:pt>
                <c:pt idx="601">
                  <c:v>0.36687546317512593</c:v>
                </c:pt>
                <c:pt idx="602">
                  <c:v>0.53762475061884363</c:v>
                </c:pt>
                <c:pt idx="603">
                  <c:v>0.39336203553634469</c:v>
                </c:pt>
                <c:pt idx="604">
                  <c:v>-2.8871335770327738E-12</c:v>
                </c:pt>
                <c:pt idx="605">
                  <c:v>-0.41937816724860338</c:v>
                </c:pt>
                <c:pt idx="606">
                  <c:v>-0.61110117345419657</c:v>
                </c:pt>
                <c:pt idx="607">
                  <c:v>-0.44461778851428113</c:v>
                </c:pt>
                <c:pt idx="608">
                  <c:v>3.3116664587173848E-12</c:v>
                </c:pt>
                <c:pt idx="609">
                  <c:v>0.46878604324420098</c:v>
                </c:pt>
                <c:pt idx="610">
                  <c:v>0.67936044933359052</c:v>
                </c:pt>
                <c:pt idx="611">
                  <c:v>0.49160353180934052</c:v>
                </c:pt>
                <c:pt idx="612">
                  <c:v>-3.7151147334392757E-12</c:v>
                </c:pt>
                <c:pt idx="613">
                  <c:v>-0.51281031586077896</c:v>
                </c:pt>
                <c:pt idx="614">
                  <c:v>-0.73925850686826389</c:v>
                </c:pt>
                <c:pt idx="615">
                  <c:v>-0.53216962334609974</c:v>
                </c:pt>
                <c:pt idx="616">
                  <c:v>4.0362741420264895E-12</c:v>
                </c:pt>
                <c:pt idx="617">
                  <c:v>0.54947119716423554</c:v>
                </c:pt>
                <c:pt idx="618">
                  <c:v>0.78813076948907546</c:v>
                </c:pt>
                <c:pt idx="619">
                  <c:v>0.56453423583647244</c:v>
                </c:pt>
                <c:pt idx="620">
                  <c:v>-4.34384706384658E-12</c:v>
                </c:pt>
                <c:pt idx="621">
                  <c:v>-0.57720988164688114</c:v>
                </c:pt>
                <c:pt idx="622">
                  <c:v>-0.82394224809552508</c:v>
                </c:pt>
                <c:pt idx="623">
                  <c:v>-0.58738321808286298</c:v>
                </c:pt>
                <c:pt idx="624">
                  <c:v>4.584516071949339E-12</c:v>
                </c:pt>
                <c:pt idx="625">
                  <c:v>0.59497474683388141</c:v>
                </c:pt>
                <c:pt idx="626">
                  <c:v>0.84539907116996149</c:v>
                </c:pt>
                <c:pt idx="627">
                  <c:v>0.59994132198857753</c:v>
                </c:pt>
                <c:pt idx="628">
                  <c:v>-4.7490193957097679E-12</c:v>
                </c:pt>
                <c:pt idx="629">
                  <c:v>-0.60227652835993117</c:v>
                </c:pt>
                <c:pt idx="630">
                  <c:v>-0.85201470213401886</c:v>
                </c:pt>
                <c:pt idx="631">
                  <c:v>-0.60201049875321222</c:v>
                </c:pt>
                <c:pt idx="632">
                  <c:v>4.7840941259398638E-12</c:v>
                </c:pt>
                <c:pt idx="633">
                  <c:v>0.59920917459761369</c:v>
                </c:pt>
                <c:pt idx="634">
                  <c:v>0.84412692110914889</c:v>
                </c:pt>
                <c:pt idx="635">
                  <c:v>0.59397302222040782</c:v>
                </c:pt>
                <c:pt idx="636">
                  <c:v>-4.7869203939158917E-12</c:v>
                </c:pt>
                <c:pt idx="637">
                  <c:v>-0.58643522639829793</c:v>
                </c:pt>
                <c:pt idx="638">
                  <c:v>-0.82286471836333774</c:v>
                </c:pt>
                <c:pt idx="639">
                  <c:v>-0.57675939012144939</c:v>
                </c:pt>
                <c:pt idx="640">
                  <c:v>4.7135527370439935E-12</c:v>
                </c:pt>
                <c:pt idx="641">
                  <c:v>0.56513677806531826</c:v>
                </c:pt>
                <c:pt idx="642">
                  <c:v>0.79006736704599911</c:v>
                </c:pt>
                <c:pt idx="643">
                  <c:v>0.5517831475089845</c:v>
                </c:pt>
                <c:pt idx="644">
                  <c:v>-4.5291166586334101E-12</c:v>
                </c:pt>
                <c:pt idx="645">
                  <c:v>-0.53693521770801089</c:v>
                </c:pt>
                <c:pt idx="646">
                  <c:v>-0.74816091769578097</c:v>
                </c:pt>
                <c:pt idx="647">
                  <c:v>-0.52084683348479843</c:v>
                </c:pt>
                <c:pt idx="648">
                  <c:v>4.3366160798414157E-12</c:v>
                </c:pt>
                <c:pt idx="649">
                  <c:v>0.50378488436192537</c:v>
                </c:pt>
                <c:pt idx="650">
                  <c:v>0.69999999999990303</c:v>
                </c:pt>
                <c:pt idx="651">
                  <c:v>0.48602504349458803</c:v>
                </c:pt>
                <c:pt idx="652">
                  <c:v>-4.1060203129815384E-12</c:v>
                </c:pt>
                <c:pt idx="653">
                  <c:v>-0.46784739420624089</c:v>
                </c:pt>
                <c:pt idx="654">
                  <c:v>-0.64868496282982335</c:v>
                </c:pt>
                <c:pt idx="655">
                  <c:v>-0.44953201281231631</c:v>
                </c:pt>
                <c:pt idx="656">
                  <c:v>3.8553703560391671E-12</c:v>
                </c:pt>
                <c:pt idx="657">
                  <c:v>0.43135457777306746</c:v>
                </c:pt>
                <c:pt idx="658">
                  <c:v>0.59736589740528379</c:v>
                </c:pt>
                <c:pt idx="659">
                  <c:v>0.41358207395097313</c:v>
                </c:pt>
                <c:pt idx="660">
                  <c:v>-3.6036934763687124E-12</c:v>
                </c:pt>
                <c:pt idx="661">
                  <c:v>-0.39646865987034274</c:v>
                </c:pt>
                <c:pt idx="662">
                  <c:v>-0.54904587599182086</c:v>
                </c:pt>
                <c:pt idx="663">
                  <c:v>-0.38025176250371695</c:v>
                </c:pt>
                <c:pt idx="664">
                  <c:v>3.3098493028698495E-12</c:v>
                </c:pt>
                <c:pt idx="665">
                  <c:v>0.36514846109901211</c:v>
                </c:pt>
                <c:pt idx="666">
                  <c:v>0.50639575090829081</c:v>
                </c:pt>
                <c:pt idx="667">
                  <c:v>0.35135221624869756</c:v>
                </c:pt>
                <c:pt idx="668">
                  <c:v>-3.1152870924960878E-12</c:v>
                </c:pt>
                <c:pt idx="669">
                  <c:v>-0.33902999549498419</c:v>
                </c:pt>
                <c:pt idx="670">
                  <c:v>-0.47159209561589599</c:v>
                </c:pt>
                <c:pt idx="671">
                  <c:v>-0.32831983980353957</c:v>
                </c:pt>
                <c:pt idx="672">
                  <c:v>2.9692008543530982E-12</c:v>
                </c:pt>
                <c:pt idx="673">
                  <c:v>0.31932890878823</c:v>
                </c:pt>
                <c:pt idx="674">
                  <c:v>0.44618837979858533</c:v>
                </c:pt>
                <c:pt idx="675">
                  <c:v>0.31213203435387088</c:v>
                </c:pt>
                <c:pt idx="676">
                  <c:v>-2.8822290165901845E-12</c:v>
                </c:pt>
                <c:pt idx="677">
                  <c:v>-0.30677080488233144</c:v>
                </c:pt>
                <c:pt idx="678">
                  <c:v>-0.43102734780397917</c:v>
                </c:pt>
                <c:pt idx="679">
                  <c:v>-0.30325319309084364</c:v>
                </c:pt>
                <c:pt idx="680">
                  <c:v>2.8605711750992117E-12</c:v>
                </c:pt>
                <c:pt idx="681">
                  <c:v>0.30155373257769974</c:v>
                </c:pt>
                <c:pt idx="682">
                  <c:v>0.42619994850259579</c:v>
                </c:pt>
                <c:pt idx="683">
                  <c:v>0.30161423881601301</c:v>
                </c:pt>
                <c:pt idx="684">
                  <c:v>-2.9054951950609544E-12</c:v>
                </c:pt>
                <c:pt idx="685">
                  <c:v>-0.30334506222382068</c:v>
                </c:pt>
                <c:pt idx="686">
                  <c:v>-0.43105320975787681</c:v>
                </c:pt>
                <c:pt idx="687">
                  <c:v>-0.30662685196717226</c:v>
                </c:pt>
                <c:pt idx="688">
                  <c:v>3.0131719384105248E-12</c:v>
                </c:pt>
                <c:pt idx="689">
                  <c:v>0.31131280155707358</c:v>
                </c:pt>
                <c:pt idx="690">
                  <c:v>0.44424634841653149</c:v>
                </c:pt>
                <c:pt idx="691">
                  <c:v>0.3172313391311013</c:v>
                </c:pt>
                <c:pt idx="692">
                  <c:v>-3.1233129502499467E-12</c:v>
                </c:pt>
                <c:pt idx="693">
                  <c:v>-0.32418921877697521</c:v>
                </c:pt>
                <c:pt idx="694">
                  <c:v>-0.4638513523802586</c:v>
                </c:pt>
                <c:pt idx="695">
                  <c:v>-0.33197496235434376</c:v>
                </c:pt>
                <c:pt idx="696">
                  <c:v>3.3233782478958324E-12</c:v>
                </c:pt>
                <c:pt idx="697">
                  <c:v>0.34036259625618709</c:v>
                </c:pt>
                <c:pt idx="698">
                  <c:v>0.48749145719305781</c:v>
                </c:pt>
                <c:pt idx="699">
                  <c:v>0.34911562230941778</c:v>
                </c:pt>
                <c:pt idx="700">
                  <c:v>-3.5473270898265641E-12</c:v>
                </c:pt>
                <c:pt idx="701">
                  <c:v>-0.35799115887729183</c:v>
                </c:pt>
                <c:pt idx="702">
                  <c:v>-0.51250854280705471</c:v>
                </c:pt>
                <c:pt idx="703">
                  <c:v>-0.36674418493019534</c:v>
                </c:pt>
                <c:pt idx="704">
                  <c:v>3.7763535991231835E-12</c:v>
                </c:pt>
                <c:pt idx="705">
                  <c:v>0.37513181883267666</c:v>
                </c:pt>
                <c:pt idx="706">
                  <c:v>0.53614864761984149</c:v>
                </c:pt>
                <c:pt idx="707">
                  <c:v>0.38291756240913577</c:v>
                </c:pt>
                <c:pt idx="708">
                  <c:v>-3.9905282023074592E-12</c:v>
                </c:pt>
                <c:pt idx="709">
                  <c:v>-0.38987544205614388</c:v>
                </c:pt>
                <c:pt idx="710">
                  <c:v>-0.55575365158354417</c:v>
                </c:pt>
                <c:pt idx="711">
                  <c:v>-0.39579397962876306</c:v>
                </c:pt>
                <c:pt idx="712">
                  <c:v>4.1702052674216216E-12</c:v>
                </c:pt>
                <c:pt idx="713">
                  <c:v>0.40047992922027381</c:v>
                </c:pt>
                <c:pt idx="714">
                  <c:v>0.56894679024216521</c:v>
                </c:pt>
                <c:pt idx="715">
                  <c:v>0.40376171896180457</c:v>
                </c:pt>
                <c:pt idx="716">
                  <c:v>-4.2974562594901374E-12</c:v>
                </c:pt>
                <c:pt idx="717">
                  <c:v>-0.4054925423715488</c:v>
                </c:pt>
                <c:pt idx="718">
                  <c:v>-0.57380005149740498</c:v>
                </c:pt>
                <c:pt idx="719">
                  <c:v>-0.40555304860779723</c:v>
                </c:pt>
                <c:pt idx="720">
                  <c:v>4.2923290940057558E-12</c:v>
                </c:pt>
                <c:pt idx="721">
                  <c:v>0.40385358809673583</c:v>
                </c:pt>
                <c:pt idx="722">
                  <c:v>0.5689726521959757</c:v>
                </c:pt>
                <c:pt idx="723">
                  <c:v>0.40033597630316869</c:v>
                </c:pt>
                <c:pt idx="724">
                  <c:v>-4.2755913765012972E-12</c:v>
                </c:pt>
                <c:pt idx="725">
                  <c:v>-0.39497474683358652</c:v>
                </c:pt>
                <c:pt idx="726">
                  <c:v>-0.55381162020132224</c:v>
                </c:pt>
                <c:pt idx="727">
                  <c:v>-0.38777787239734368</c:v>
                </c:pt>
                <c:pt idx="728">
                  <c:v>4.1768429809343443E-12</c:v>
                </c:pt>
                <c:pt idx="729">
                  <c:v>0.37878694138372704</c:v>
                </c:pt>
                <c:pt idx="730">
                  <c:v>0.52840790438396645</c:v>
                </c:pt>
                <c:pt idx="731">
                  <c:v>0.36807678569076741</c:v>
                </c:pt>
                <c:pt idx="732">
                  <c:v>-3.9965382644088441E-12</c:v>
                </c:pt>
                <c:pt idx="733">
                  <c:v>-0.35575456493828261</c:v>
                </c:pt>
                <c:pt idx="734">
                  <c:v>-0.49360424909153311</c:v>
                </c:pt>
                <c:pt idx="735">
                  <c:v>-0.3419583200870524</c:v>
                </c:pt>
                <c:pt idx="736">
                  <c:v>3.7411545406740975E-12</c:v>
                </c:pt>
                <c:pt idx="737">
                  <c:v>0.32685501868286176</c:v>
                </c:pt>
                <c:pt idx="738">
                  <c:v>0.45095412400797086</c:v>
                </c:pt>
                <c:pt idx="739">
                  <c:v>0.31063812131607421</c:v>
                </c:pt>
                <c:pt idx="740">
                  <c:v>-3.4230521109893118E-12</c:v>
                </c:pt>
                <c:pt idx="741">
                  <c:v>-0.2935247072351892</c:v>
                </c:pt>
                <c:pt idx="742">
                  <c:v>-0.40263410259448795</c:v>
                </c:pt>
                <c:pt idx="743">
                  <c:v>-0.27575220341375878</c:v>
                </c:pt>
                <c:pt idx="744">
                  <c:v>3.0599354274513572E-12</c:v>
                </c:pt>
                <c:pt idx="745">
                  <c:v>0.25757476837340137</c:v>
                </c:pt>
                <c:pt idx="746">
                  <c:v>0.35131503716994139</c:v>
                </c:pt>
                <c:pt idx="747">
                  <c:v>0.23925938698102797</c:v>
                </c:pt>
                <c:pt idx="748">
                  <c:v>-2.636938001244603E-12</c:v>
                </c:pt>
                <c:pt idx="749">
                  <c:v>-0.2210817376906605</c:v>
                </c:pt>
                <c:pt idx="750">
                  <c:v>-0.29999999999986893</c:v>
                </c:pt>
                <c:pt idx="751">
                  <c:v>-0.20332189682581689</c:v>
                </c:pt>
                <c:pt idx="752">
                  <c:v>2.2590832406247054E-12</c:v>
                </c:pt>
                <c:pt idx="753">
                  <c:v>0.1862599477000394</c:v>
                </c:pt>
                <c:pt idx="754">
                  <c:v>0.25183908230401369</c:v>
                </c:pt>
                <c:pt idx="755">
                  <c:v>0.17017156348014853</c:v>
                </c:pt>
                <c:pt idx="756">
                  <c:v>-1.9101483331285231E-12</c:v>
                </c:pt>
                <c:pt idx="757">
                  <c:v>-0.15532363367550694</c:v>
                </c:pt>
                <c:pt idx="758">
                  <c:v>-0.20993263295383041</c:v>
                </c:pt>
                <c:pt idx="759">
                  <c:v>-0.14197000312323008</c:v>
                </c:pt>
                <c:pt idx="760">
                  <c:v>1.6168361526734912E-12</c:v>
                </c:pt>
                <c:pt idx="761">
                  <c:v>0.13034739106275756</c:v>
                </c:pt>
                <c:pt idx="762">
                  <c:v>0.17713528163653791</c:v>
                </c:pt>
                <c:pt idx="763">
                  <c:v>0.12067155479053097</c:v>
                </c:pt>
                <c:pt idx="764">
                  <c:v>-1.4041942959085187E-12</c:v>
                </c:pt>
                <c:pt idx="765">
                  <c:v>-0.11313375896365166</c:v>
                </c:pt>
                <c:pt idx="766">
                  <c:v>-0.15587307889078383</c:v>
                </c:pt>
                <c:pt idx="767">
                  <c:v>-0.10789760659136499</c:v>
                </c:pt>
                <c:pt idx="768">
                  <c:v>1.293959225222962E-12</c:v>
                </c:pt>
                <c:pt idx="769">
                  <c:v>0.10509628243085009</c:v>
                </c:pt>
                <c:pt idx="770">
                  <c:v>0.14798529786597769</c:v>
                </c:pt>
                <c:pt idx="771">
                  <c:v>0.10483025282906429</c:v>
                </c:pt>
                <c:pt idx="772">
                  <c:v>-1.303055069513256E-12</c:v>
                </c:pt>
                <c:pt idx="773">
                  <c:v>-0.10716545919559982</c:v>
                </c:pt>
                <c:pt idx="774">
                  <c:v>-0.15460092883010232</c:v>
                </c:pt>
                <c:pt idx="775">
                  <c:v>-0.11213203435501921</c:v>
                </c:pt>
                <c:pt idx="776">
                  <c:v>1.4237621722878063E-12</c:v>
                </c:pt>
                <c:pt idx="777">
                  <c:v>0.11972356310161376</c:v>
                </c:pt>
                <c:pt idx="778">
                  <c:v>0.17605775190460474</c:v>
                </c:pt>
                <c:pt idx="779">
                  <c:v>0.12989689954174047</c:v>
                </c:pt>
                <c:pt idx="780">
                  <c:v>-1.6938911166547739E-12</c:v>
                </c:pt>
                <c:pt idx="781">
                  <c:v>-0.14257254534844793</c:v>
                </c:pt>
                <c:pt idx="782">
                  <c:v>-0.21186923051111803</c:v>
                </c:pt>
                <c:pt idx="783">
                  <c:v>-0.15763558402396047</c:v>
                </c:pt>
                <c:pt idx="784">
                  <c:v>2.0930083556982813E-12</c:v>
                </c:pt>
                <c:pt idx="785">
                  <c:v>0.17493715783939506</c:v>
                </c:pt>
                <c:pt idx="786">
                  <c:v>0.26074149313198469</c:v>
                </c:pt>
                <c:pt idx="787">
                  <c:v>0.19429646532688821</c:v>
                </c:pt>
                <c:pt idx="788">
                  <c:v>-2.6102655707258142E-12</c:v>
                </c:pt>
                <c:pt idx="789">
                  <c:v>-0.21550324937681051</c:v>
                </c:pt>
                <c:pt idx="790">
                  <c:v>-0.32063955066670247</c:v>
                </c:pt>
                <c:pt idx="791">
                  <c:v>-0.23832073794282119</c:v>
                </c:pt>
                <c:pt idx="792">
                  <c:v>3.2278256044078087E-12</c:v>
                </c:pt>
                <c:pt idx="793">
                  <c:v>0.26248899267260789</c:v>
                </c:pt>
                <c:pt idx="794">
                  <c:v>0.38889882654612751</c:v>
                </c:pt>
                <c:pt idx="795">
                  <c:v>0.28772861393766436</c:v>
                </c:pt>
                <c:pt idx="796">
                  <c:v>-3.9217228932759793E-12</c:v>
                </c:pt>
                <c:pt idx="797">
                  <c:v>-0.3137447456513584</c:v>
                </c:pt>
                <c:pt idx="798">
                  <c:v>-0.46237524938149649</c:v>
                </c:pt>
                <c:pt idx="799">
                  <c:v>-0.34023131801033263</c:v>
                </c:pt>
                <c:pt idx="800">
                  <c:v>4.6631247333120673E-12</c:v>
                </c:pt>
                <c:pt idx="801">
                  <c:v>0.36687546317679526</c:v>
                </c:pt>
                <c:pt idx="802">
                  <c:v>0.53762475061894521</c:v>
                </c:pt>
                <c:pt idx="803">
                  <c:v>0.39336203553470656</c:v>
                </c:pt>
                <c:pt idx="804">
                  <c:v>-5.3545745773359715E-12</c:v>
                </c:pt>
                <c:pt idx="805">
                  <c:v>-0.41937816725049848</c:v>
                </c:pt>
                <c:pt idx="806">
                  <c:v>-0.61110117345429538</c:v>
                </c:pt>
                <c:pt idx="807">
                  <c:v>-0.44461778851241579</c:v>
                </c:pt>
                <c:pt idx="808">
                  <c:v>6.0851058352981689E-12</c:v>
                </c:pt>
                <c:pt idx="809">
                  <c:v>0.46878604324630507</c:v>
                </c:pt>
                <c:pt idx="810">
                  <c:v>0.67936044933367989</c:v>
                </c:pt>
                <c:pt idx="811">
                  <c:v>0.49160353180726329</c:v>
                </c:pt>
                <c:pt idx="812">
                  <c:v>-6.76519726334325E-12</c:v>
                </c:pt>
                <c:pt idx="813">
                  <c:v>-0.51281031586306569</c:v>
                </c:pt>
                <c:pt idx="814">
                  <c:v>-0.73925850686833972</c:v>
                </c:pt>
                <c:pt idx="815">
                  <c:v>-0.53216962334380569</c:v>
                </c:pt>
                <c:pt idx="816">
                  <c:v>7.364585384534469E-12</c:v>
                </c:pt>
                <c:pt idx="817">
                  <c:v>0.54947119716670156</c:v>
                </c:pt>
                <c:pt idx="818">
                  <c:v>0.78813076948913441</c:v>
                </c:pt>
                <c:pt idx="819">
                  <c:v>0.56453423583408746</c:v>
                </c:pt>
                <c:pt idx="820">
                  <c:v>-7.8572385363368775E-12</c:v>
                </c:pt>
                <c:pt idx="821">
                  <c:v>-0.57720988164939058</c:v>
                </c:pt>
                <c:pt idx="822">
                  <c:v>-0.82394224809556493</c:v>
                </c:pt>
                <c:pt idx="823">
                  <c:v>-0.5873832180803662</c:v>
                </c:pt>
                <c:pt idx="824">
                  <c:v>8.2229401758548267E-12</c:v>
                </c:pt>
                <c:pt idx="825">
                  <c:v>0.59497474683645279</c:v>
                </c:pt>
                <c:pt idx="826">
                  <c:v>0.84539907116998048</c:v>
                </c:pt>
                <c:pt idx="827">
                  <c:v>0.59994132198601213</c:v>
                </c:pt>
                <c:pt idx="828">
                  <c:v>-8.4485337228837294E-12</c:v>
                </c:pt>
                <c:pt idx="829">
                  <c:v>-0.60227652836255363</c:v>
                </c:pt>
                <c:pt idx="830">
                  <c:v>-0.85201470213401775</c:v>
                </c:pt>
                <c:pt idx="831">
                  <c:v>-0.60201049875058954</c:v>
                </c:pt>
                <c:pt idx="832">
                  <c:v>8.5287445156676983E-12</c:v>
                </c:pt>
                <c:pt idx="833">
                  <c:v>0.59920917460020884</c:v>
                </c:pt>
                <c:pt idx="834">
                  <c:v>0.84412692110912835</c:v>
                </c:pt>
                <c:pt idx="835">
                  <c:v>0.59397302221780646</c:v>
                </c:pt>
                <c:pt idx="836">
                  <c:v>-8.3715839132812192E-12</c:v>
                </c:pt>
                <c:pt idx="837">
                  <c:v>-0.58643522640082479</c:v>
                </c:pt>
                <c:pt idx="838">
                  <c:v>-0.82286471836329989</c:v>
                </c:pt>
                <c:pt idx="839">
                  <c:v>-0.5767593901189112</c:v>
                </c:pt>
                <c:pt idx="840">
                  <c:v>8.1810278946599481E-12</c:v>
                </c:pt>
                <c:pt idx="841">
                  <c:v>0.56513677806774165</c:v>
                </c:pt>
                <c:pt idx="842">
                  <c:v>0.79006736704594682</c:v>
                </c:pt>
                <c:pt idx="843">
                  <c:v>0.55178314750651403</c:v>
                </c:pt>
                <c:pt idx="844">
                  <c:v>-7.8785927636140082E-12</c:v>
                </c:pt>
                <c:pt idx="845">
                  <c:v>-0.53693521771033381</c:v>
                </c:pt>
                <c:pt idx="846">
                  <c:v>-0.74816091769571791</c:v>
                </c:pt>
                <c:pt idx="847">
                  <c:v>-0.52084683348251659</c:v>
                </c:pt>
                <c:pt idx="848">
                  <c:v>7.4885796183070763E-12</c:v>
                </c:pt>
                <c:pt idx="849">
                  <c:v>0.50378488436403968</c:v>
                </c:pt>
                <c:pt idx="850">
                  <c:v>0.69999999999983342</c:v>
                </c:pt>
                <c:pt idx="851">
                  <c:v>0.48602504349245185</c:v>
                </c:pt>
                <c:pt idx="852">
                  <c:v>-7.0399289043832422E-12</c:v>
                </c:pt>
                <c:pt idx="853">
                  <c:v>-0.46784739420822513</c:v>
                </c:pt>
                <c:pt idx="854">
                  <c:v>-0.64868496282975163</c:v>
                </c:pt>
                <c:pt idx="855">
                  <c:v>-0.44953201281031041</c:v>
                </c:pt>
                <c:pt idx="856">
                  <c:v>6.5643828141019184E-12</c:v>
                </c:pt>
                <c:pt idx="857">
                  <c:v>0.43135457777489389</c:v>
                </c:pt>
                <c:pt idx="858">
                  <c:v>0.59736589740521429</c:v>
                </c:pt>
                <c:pt idx="859">
                  <c:v>0.41358207394912588</c:v>
                </c:pt>
                <c:pt idx="860">
                  <c:v>-6.0944552884821764E-12</c:v>
                </c:pt>
                <c:pt idx="861">
                  <c:v>-0.39646865987202096</c:v>
                </c:pt>
                <c:pt idx="862">
                  <c:v>-0.54904587599175736</c:v>
                </c:pt>
                <c:pt idx="863">
                  <c:v>-0.38025176250201964</c:v>
                </c:pt>
                <c:pt idx="864">
                  <c:v>5.6014408543902329E-12</c:v>
                </c:pt>
                <c:pt idx="865">
                  <c:v>0.36514846110056109</c:v>
                </c:pt>
                <c:pt idx="866">
                  <c:v>0.50639575090823685</c:v>
                </c:pt>
                <c:pt idx="867">
                  <c:v>0.35135221624713314</c:v>
                </c:pt>
                <c:pt idx="868">
                  <c:v>-5.2374107248485775E-12</c:v>
                </c:pt>
                <c:pt idx="869">
                  <c:v>-0.33902999549642687</c:v>
                </c:pt>
                <c:pt idx="870">
                  <c:v>-0.47159209561585491</c:v>
                </c:pt>
                <c:pt idx="871">
                  <c:v>-0.32831983980208423</c:v>
                </c:pt>
                <c:pt idx="872">
                  <c:v>4.9597303546945102E-12</c:v>
                </c:pt>
                <c:pt idx="873">
                  <c:v>0.31932890878959652</c:v>
                </c:pt>
                <c:pt idx="874">
                  <c:v>0.44618837979855719</c:v>
                </c:pt>
                <c:pt idx="875">
                  <c:v>0.31213203435253173</c:v>
                </c:pt>
                <c:pt idx="876">
                  <c:v>-4.7842847268388978E-12</c:v>
                </c:pt>
                <c:pt idx="877">
                  <c:v>-0.30677080488361863</c:v>
                </c:pt>
                <c:pt idx="878">
                  <c:v>-0.4310273478039654</c:v>
                </c:pt>
                <c:pt idx="879">
                  <c:v>-0.30325319308951748</c:v>
                </c:pt>
                <c:pt idx="880">
                  <c:v>4.7193130991981883E-12</c:v>
                </c:pt>
                <c:pt idx="881">
                  <c:v>0.30155373257900908</c:v>
                </c:pt>
                <c:pt idx="882">
                  <c:v>0.42619994850259607</c:v>
                </c:pt>
                <c:pt idx="883">
                  <c:v>0.30161423881470367</c:v>
                </c:pt>
                <c:pt idx="884">
                  <c:v>-4.7648434509438188E-12</c:v>
                </c:pt>
                <c:pt idx="885">
                  <c:v>-0.30334506222514707</c:v>
                </c:pt>
                <c:pt idx="886">
                  <c:v>-0.43105320975788963</c:v>
                </c:pt>
                <c:pt idx="887">
                  <c:v>-0.30662685196584971</c:v>
                </c:pt>
                <c:pt idx="888">
                  <c:v>4.912667591006277E-12</c:v>
                </c:pt>
                <c:pt idx="889">
                  <c:v>0.31131280155844243</c:v>
                </c:pt>
                <c:pt idx="890">
                  <c:v>0.44424634841655464</c:v>
                </c:pt>
                <c:pt idx="891">
                  <c:v>0.31723133912973944</c:v>
                </c:pt>
                <c:pt idx="892">
                  <c:v>-5.0953224559456845E-12</c:v>
                </c:pt>
                <c:pt idx="893">
                  <c:v>-0.32418921877840573</c:v>
                </c:pt>
                <c:pt idx="894">
                  <c:v>-0.46385135238028913</c:v>
                </c:pt>
                <c:pt idx="895">
                  <c:v>-0.33197496235292229</c:v>
                </c:pt>
                <c:pt idx="896">
                  <c:v>5.390822070858792E-12</c:v>
                </c:pt>
                <c:pt idx="897">
                  <c:v>0.34036259625769133</c:v>
                </c:pt>
                <c:pt idx="898">
                  <c:v>0.48749145719309206</c:v>
                </c:pt>
                <c:pt idx="899">
                  <c:v>0.34911562230792331</c:v>
                </c:pt>
                <c:pt idx="900">
                  <c:v>-5.722078957934047E-12</c:v>
                </c:pt>
                <c:pt idx="901">
                  <c:v>-0.35799115887887339</c:v>
                </c:pt>
                <c:pt idx="902">
                  <c:v>-0.51250854280708902</c:v>
                </c:pt>
                <c:pt idx="903">
                  <c:v>-0.36674418492866567</c:v>
                </c:pt>
                <c:pt idx="904">
                  <c:v>6.0584135123751145E-12</c:v>
                </c:pt>
                <c:pt idx="905">
                  <c:v>0.37513181883428814</c:v>
                </c:pt>
                <c:pt idx="906">
                  <c:v>0.53614864761987191</c:v>
                </c:pt>
                <c:pt idx="907">
                  <c:v>0.38291756240749075</c:v>
                </c:pt>
                <c:pt idx="908">
                  <c:v>-6.3680224328264117E-12</c:v>
                </c:pt>
                <c:pt idx="909">
                  <c:v>-0.38987544205785718</c:v>
                </c:pt>
                <c:pt idx="910">
                  <c:v>-0.55575365158356727</c:v>
                </c:pt>
                <c:pt idx="911">
                  <c:v>-0.39579397962705631</c:v>
                </c:pt>
                <c:pt idx="912">
                  <c:v>6.6202133510402314E-12</c:v>
                </c:pt>
                <c:pt idx="913">
                  <c:v>0.4004799292220268</c:v>
                </c:pt>
                <c:pt idx="914">
                  <c:v>0.56894679024217798</c:v>
                </c:pt>
                <c:pt idx="915">
                  <c:v>0.40376171896005536</c:v>
                </c:pt>
                <c:pt idx="916">
                  <c:v>-6.7876117398212035E-12</c:v>
                </c:pt>
                <c:pt idx="917">
                  <c:v>-0.40549254237331506</c:v>
                </c:pt>
                <c:pt idx="918">
                  <c:v>-0.57380005149740532</c:v>
                </c:pt>
                <c:pt idx="919">
                  <c:v>-0.40555304860603109</c:v>
                </c:pt>
                <c:pt idx="920">
                  <c:v>6.7830909061202104E-12</c:v>
                </c:pt>
                <c:pt idx="921">
                  <c:v>0.40385358809848515</c:v>
                </c:pt>
                <c:pt idx="922">
                  <c:v>0.56897265219596194</c:v>
                </c:pt>
                <c:pt idx="923">
                  <c:v>0.4003359763014151</c:v>
                </c:pt>
                <c:pt idx="924">
                  <c:v>-6.7230394024654834E-12</c:v>
                </c:pt>
                <c:pt idx="925">
                  <c:v>-0.39497474683528705</c:v>
                </c:pt>
                <c:pt idx="926">
                  <c:v>-0.55381162020129404</c:v>
                </c:pt>
                <c:pt idx="927">
                  <c:v>-0.3877778723956346</c:v>
                </c:pt>
                <c:pt idx="928">
                  <c:v>6.5358172168053009E-12</c:v>
                </c:pt>
                <c:pt idx="929">
                  <c:v>0.3787869413853473</c:v>
                </c:pt>
                <c:pt idx="930">
                  <c:v>0.5284079043839246</c:v>
                </c:pt>
                <c:pt idx="931">
                  <c:v>0.3680767856891764</c:v>
                </c:pt>
                <c:pt idx="932">
                  <c:v>-6.2239183682682384E-12</c:v>
                </c:pt>
                <c:pt idx="933">
                  <c:v>-0.35575456493975405</c:v>
                </c:pt>
                <c:pt idx="934">
                  <c:v>-0.4936042490914791</c:v>
                </c:pt>
                <c:pt idx="935">
                  <c:v>-0.34195832008552496</c:v>
                </c:pt>
                <c:pt idx="936">
                  <c:v>5.7990667253651942E-12</c:v>
                </c:pt>
                <c:pt idx="937">
                  <c:v>0.32685501868424</c:v>
                </c:pt>
                <c:pt idx="938">
                  <c:v>0.45095412400790869</c:v>
                </c:pt>
                <c:pt idx="939">
                  <c:v>0.31063812131467688</c:v>
                </c:pt>
                <c:pt idx="940">
                  <c:v>-5.2817940350870436E-12</c:v>
                </c:pt>
                <c:pt idx="941">
                  <c:v>-0.29352470723641755</c:v>
                </c:pt>
                <c:pt idx="942">
                  <c:v>-0.40263410259441834</c:v>
                </c:pt>
                <c:pt idx="943">
                  <c:v>-0.27575220341251061</c:v>
                </c:pt>
                <c:pt idx="944">
                  <c:v>4.7004267055996368E-12</c:v>
                </c:pt>
                <c:pt idx="945">
                  <c:v>0.25757476837447107</c:v>
                </c:pt>
                <c:pt idx="946">
                  <c:v>0.35131503716986967</c:v>
                </c:pt>
                <c:pt idx="947">
                  <c:v>0.23925938697993671</c:v>
                </c:pt>
                <c:pt idx="948">
                  <c:v>-4.0525331460539503E-12</c:v>
                </c:pt>
                <c:pt idx="949">
                  <c:v>-0.22108173769157224</c:v>
                </c:pt>
                <c:pt idx="950">
                  <c:v>-0.29999999999979937</c:v>
                </c:pt>
                <c:pt idx="951">
                  <c:v>-0.20332189682488425</c:v>
                </c:pt>
                <c:pt idx="952">
                  <c:v>3.4566234383702395E-12</c:v>
                </c:pt>
                <c:pt idx="953">
                  <c:v>0.18625994770080354</c:v>
                </c:pt>
                <c:pt idx="954">
                  <c:v>0.25183908230395069</c:v>
                </c:pt>
                <c:pt idx="955">
                  <c:v>0.17017156347936543</c:v>
                </c:pt>
                <c:pt idx="956">
                  <c:v>-2.9101759643594428E-12</c:v>
                </c:pt>
                <c:pt idx="957">
                  <c:v>-0.15532363367614338</c:v>
                </c:pt>
                <c:pt idx="958">
                  <c:v>-0.20993263295377815</c:v>
                </c:pt>
                <c:pt idx="959">
                  <c:v>-0.14197000312259409</c:v>
                </c:pt>
                <c:pt idx="960">
                  <c:v>2.4529484163966567E-12</c:v>
                </c:pt>
                <c:pt idx="961">
                  <c:v>0.13034739106328014</c:v>
                </c:pt>
                <c:pt idx="962">
                  <c:v>0.17713528163650002</c:v>
                </c:pt>
                <c:pt idx="963">
                  <c:v>0.12067155478998223</c:v>
                </c:pt>
                <c:pt idx="964">
                  <c:v>-2.1215663892980125E-12</c:v>
                </c:pt>
                <c:pt idx="965">
                  <c:v>-0.113133758964126</c:v>
                </c:pt>
                <c:pt idx="966">
                  <c:v>-0.15587307889076332</c:v>
                </c:pt>
                <c:pt idx="967">
                  <c:v>-0.10789760659088451</c:v>
                </c:pt>
                <c:pt idx="968">
                  <c:v>1.9471198709518207E-12</c:v>
                </c:pt>
                <c:pt idx="969">
                  <c:v>0.10509628243130292</c:v>
                </c:pt>
                <c:pt idx="970">
                  <c:v>0.14798529786597664</c:v>
                </c:pt>
                <c:pt idx="971">
                  <c:v>0.10483025282861118</c:v>
                </c:pt>
                <c:pt idx="972">
                  <c:v>-1.9530444785533099E-12</c:v>
                </c:pt>
                <c:pt idx="973">
                  <c:v>-0.10716545919607601</c:v>
                </c:pt>
                <c:pt idx="974">
                  <c:v>-0.15460092883012172</c:v>
                </c:pt>
                <c:pt idx="975">
                  <c:v>-0.11213203435454887</c:v>
                </c:pt>
                <c:pt idx="976">
                  <c:v>2.1348418045970999E-12</c:v>
                </c:pt>
                <c:pt idx="977">
                  <c:v>0.11972356310215861</c:v>
                </c:pt>
                <c:pt idx="978">
                  <c:v>0.17605775190464454</c:v>
                </c:pt>
                <c:pt idx="979">
                  <c:v>0.12989689954120714</c:v>
                </c:pt>
                <c:pt idx="980">
                  <c:v>-2.5300033803799963E-12</c:v>
                </c:pt>
                <c:pt idx="981">
                  <c:v>-0.14257254534910649</c:v>
                </c:pt>
                <c:pt idx="982">
                  <c:v>-0.21186923051117576</c:v>
                </c:pt>
                <c:pt idx="983">
                  <c:v>-0.15763558402331967</c:v>
                </c:pt>
                <c:pt idx="984">
                  <c:v>3.1142008494064962E-12</c:v>
                </c:pt>
                <c:pt idx="985">
                  <c:v>0.17493715784020678</c:v>
                </c:pt>
                <c:pt idx="986">
                  <c:v>0.26074149313206046</c:v>
                </c:pt>
                <c:pt idx="987">
                  <c:v>0.19429646532612141</c:v>
                </c:pt>
                <c:pt idx="988">
                  <c:v>-3.8692975764054933E-12</c:v>
                </c:pt>
                <c:pt idx="989">
                  <c:v>-0.21550324937778437</c:v>
                </c:pt>
                <c:pt idx="990">
                  <c:v>-0.32063955066679184</c:v>
                </c:pt>
                <c:pt idx="991">
                  <c:v>-0.23832073794184974</c:v>
                </c:pt>
                <c:pt idx="992">
                  <c:v>4.7671640727523463E-12</c:v>
                </c:pt>
                <c:pt idx="993">
                  <c:v>0.26248899267381809</c:v>
                </c:pt>
                <c:pt idx="994">
                  <c:v>0.38889882654622632</c:v>
                </c:pt>
                <c:pt idx="995">
                  <c:v>0.28772861393648397</c:v>
                </c:pt>
                <c:pt idx="996">
                  <c:v>-5.7711117691767861E-12</c:v>
                </c:pt>
                <c:pt idx="997">
                  <c:v>-0.31374474565279586</c:v>
                </c:pt>
                <c:pt idx="998">
                  <c:v>-0.46237524938160018</c:v>
                </c:pt>
                <c:pt idx="999">
                  <c:v>-0.34023131800892648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C5E-47E4-B628-05D5B59E3A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4072296"/>
        <c:axId val="394075040"/>
      </c:scatterChart>
      <c:valAx>
        <c:axId val="394072296"/>
        <c:scaling>
          <c:orientation val="minMax"/>
          <c:max val="5.000000000000001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4075040"/>
        <c:crosses val="autoZero"/>
        <c:crossBetween val="midCat"/>
      </c:valAx>
      <c:valAx>
        <c:axId val="394075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4072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'Ex13'!$F$115:$F$143</c:f>
              <c:numCache>
                <c:formatCode>General</c:formatCode>
                <c:ptCount val="29"/>
                <c:pt idx="0">
                  <c:v>2220</c:v>
                </c:pt>
                <c:pt idx="1">
                  <c:v>2240</c:v>
                </c:pt>
                <c:pt idx="2">
                  <c:v>2260</c:v>
                </c:pt>
                <c:pt idx="3">
                  <c:v>2280</c:v>
                </c:pt>
                <c:pt idx="4">
                  <c:v>2300</c:v>
                </c:pt>
                <c:pt idx="5">
                  <c:v>2320</c:v>
                </c:pt>
                <c:pt idx="6">
                  <c:v>2340</c:v>
                </c:pt>
                <c:pt idx="7">
                  <c:v>2360</c:v>
                </c:pt>
                <c:pt idx="8">
                  <c:v>2380</c:v>
                </c:pt>
                <c:pt idx="9">
                  <c:v>2400</c:v>
                </c:pt>
                <c:pt idx="10">
                  <c:v>2420</c:v>
                </c:pt>
                <c:pt idx="11">
                  <c:v>2440</c:v>
                </c:pt>
                <c:pt idx="12">
                  <c:v>2460</c:v>
                </c:pt>
                <c:pt idx="13">
                  <c:v>2480</c:v>
                </c:pt>
                <c:pt idx="14">
                  <c:v>2500</c:v>
                </c:pt>
                <c:pt idx="15">
                  <c:v>2520</c:v>
                </c:pt>
                <c:pt idx="16">
                  <c:v>2540</c:v>
                </c:pt>
                <c:pt idx="17">
                  <c:v>2560</c:v>
                </c:pt>
                <c:pt idx="18">
                  <c:v>2580</c:v>
                </c:pt>
                <c:pt idx="19">
                  <c:v>2600</c:v>
                </c:pt>
                <c:pt idx="20">
                  <c:v>2620</c:v>
                </c:pt>
                <c:pt idx="21">
                  <c:v>2640</c:v>
                </c:pt>
                <c:pt idx="22">
                  <c:v>2660</c:v>
                </c:pt>
                <c:pt idx="23">
                  <c:v>2680</c:v>
                </c:pt>
                <c:pt idx="24">
                  <c:v>2700</c:v>
                </c:pt>
                <c:pt idx="25">
                  <c:v>2720</c:v>
                </c:pt>
                <c:pt idx="26">
                  <c:v>2740</c:v>
                </c:pt>
                <c:pt idx="27">
                  <c:v>2760</c:v>
                </c:pt>
                <c:pt idx="28">
                  <c:v>2780</c:v>
                </c:pt>
              </c:numCache>
            </c:numRef>
          </c:cat>
          <c:val>
            <c:numRef>
              <c:f>'Ex13'!$G$115:$G$143</c:f>
              <c:numCache>
                <c:formatCode>General</c:formatCode>
                <c:ptCount val="29"/>
                <c:pt idx="0">
                  <c:v>3.853356612996592E-24</c:v>
                </c:pt>
                <c:pt idx="1">
                  <c:v>4.956344158961663E-24</c:v>
                </c:pt>
                <c:pt idx="2">
                  <c:v>5.7128247444717469E-24</c:v>
                </c:pt>
                <c:pt idx="3">
                  <c:v>3.3728429450890705E-23</c:v>
                </c:pt>
                <c:pt idx="4">
                  <c:v>5.0000000000008002</c:v>
                </c:pt>
                <c:pt idx="5">
                  <c:v>2.6766305663458334E-23</c:v>
                </c:pt>
                <c:pt idx="6">
                  <c:v>7.1412810799274405E-24</c:v>
                </c:pt>
                <c:pt idx="7">
                  <c:v>9.0177686874219614E-24</c:v>
                </c:pt>
                <c:pt idx="8">
                  <c:v>1.7086081865701081E-23</c:v>
                </c:pt>
                <c:pt idx="9">
                  <c:v>4.9999999999937286</c:v>
                </c:pt>
                <c:pt idx="10">
                  <c:v>7.3495420915974459E-23</c:v>
                </c:pt>
                <c:pt idx="11">
                  <c:v>6.4170309306179521E-23</c:v>
                </c:pt>
                <c:pt idx="12">
                  <c:v>1.0770248301931031E-22</c:v>
                </c:pt>
                <c:pt idx="13">
                  <c:v>9.8419018299955476E-22</c:v>
                </c:pt>
                <c:pt idx="14">
                  <c:v>124.99999999999864</c:v>
                </c:pt>
                <c:pt idx="15">
                  <c:v>9.9178732482500915E-22</c:v>
                </c:pt>
                <c:pt idx="16">
                  <c:v>1.1087328922430832E-22</c:v>
                </c:pt>
                <c:pt idx="17">
                  <c:v>6.6965079576525874E-23</c:v>
                </c:pt>
                <c:pt idx="18">
                  <c:v>8.1227517589513677E-23</c:v>
                </c:pt>
                <c:pt idx="19">
                  <c:v>5.0000000000065423</c:v>
                </c:pt>
                <c:pt idx="20">
                  <c:v>1.9848302949699446E-23</c:v>
                </c:pt>
                <c:pt idx="21">
                  <c:v>9.6377772447992992E-24</c:v>
                </c:pt>
                <c:pt idx="22">
                  <c:v>7.7348225843195027E-24</c:v>
                </c:pt>
                <c:pt idx="23">
                  <c:v>3.5562824494308386E-23</c:v>
                </c:pt>
                <c:pt idx="24">
                  <c:v>4.9999999999985878</c:v>
                </c:pt>
                <c:pt idx="25">
                  <c:v>4.7695532577378622E-23</c:v>
                </c:pt>
                <c:pt idx="26">
                  <c:v>7.8538471892040096E-24</c:v>
                </c:pt>
                <c:pt idx="27">
                  <c:v>6.5710575456625583E-24</c:v>
                </c:pt>
                <c:pt idx="28">
                  <c:v>5.1026054121792632E-24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82-43B9-942B-92005B0F7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29951839"/>
        <c:axId val="1129954335"/>
      </c:barChart>
      <c:catAx>
        <c:axId val="11299518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29954335"/>
        <c:crosses val="autoZero"/>
        <c:auto val="1"/>
        <c:lblAlgn val="ctr"/>
        <c:lblOffset val="100"/>
        <c:tickMarkSkip val="2"/>
        <c:noMultiLvlLbl val="0"/>
      </c:catAx>
      <c:valAx>
        <c:axId val="11299543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29951839"/>
        <c:crossesAt val="1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'Ex14'!$A$9:$A$22</c:f>
              <c:numCache>
                <c:formatCode>General</c:formatCode>
                <c:ptCount val="14"/>
                <c:pt idx="0">
                  <c:v>77.599999999999994</c:v>
                </c:pt>
                <c:pt idx="1">
                  <c:v>114.9</c:v>
                </c:pt>
                <c:pt idx="2">
                  <c:v>141.1</c:v>
                </c:pt>
                <c:pt idx="3">
                  <c:v>190.8</c:v>
                </c:pt>
                <c:pt idx="4">
                  <c:v>239.9</c:v>
                </c:pt>
                <c:pt idx="5">
                  <c:v>289</c:v>
                </c:pt>
                <c:pt idx="6">
                  <c:v>332.8</c:v>
                </c:pt>
                <c:pt idx="7">
                  <c:v>378.4</c:v>
                </c:pt>
                <c:pt idx="8">
                  <c:v>434.8</c:v>
                </c:pt>
                <c:pt idx="9">
                  <c:v>477.3</c:v>
                </c:pt>
                <c:pt idx="10">
                  <c:v>536.79999999999995</c:v>
                </c:pt>
                <c:pt idx="11">
                  <c:v>593.1</c:v>
                </c:pt>
                <c:pt idx="12">
                  <c:v>689.1</c:v>
                </c:pt>
                <c:pt idx="13">
                  <c:v>760</c:v>
                </c:pt>
              </c:numCache>
            </c:numRef>
          </c:xVal>
          <c:yVal>
            <c:numRef>
              <c:f>'Ex14'!$B$9:$B$22</c:f>
              <c:numCache>
                <c:formatCode>General</c:formatCode>
                <c:ptCount val="14"/>
                <c:pt idx="0">
                  <c:v>10.07</c:v>
                </c:pt>
                <c:pt idx="1">
                  <c:v>14.73</c:v>
                </c:pt>
                <c:pt idx="2">
                  <c:v>17.940000000000001</c:v>
                </c:pt>
                <c:pt idx="3">
                  <c:v>23.93</c:v>
                </c:pt>
                <c:pt idx="4">
                  <c:v>29.61</c:v>
                </c:pt>
                <c:pt idx="5">
                  <c:v>35.18</c:v>
                </c:pt>
                <c:pt idx="6">
                  <c:v>40.020000000000003</c:v>
                </c:pt>
                <c:pt idx="7">
                  <c:v>44.82</c:v>
                </c:pt>
                <c:pt idx="8">
                  <c:v>50.76</c:v>
                </c:pt>
                <c:pt idx="9">
                  <c:v>55.05</c:v>
                </c:pt>
                <c:pt idx="10">
                  <c:v>61.01</c:v>
                </c:pt>
                <c:pt idx="11">
                  <c:v>66.400000000000006</c:v>
                </c:pt>
                <c:pt idx="12">
                  <c:v>75.47</c:v>
                </c:pt>
                <c:pt idx="13">
                  <c:v>81.78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B8-45E2-97BB-19F3E912E295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'Ex14'!$A$9:$A$22</c:f>
              <c:numCache>
                <c:formatCode>General</c:formatCode>
                <c:ptCount val="14"/>
                <c:pt idx="0">
                  <c:v>77.599999999999994</c:v>
                </c:pt>
                <c:pt idx="1">
                  <c:v>114.9</c:v>
                </c:pt>
                <c:pt idx="2">
                  <c:v>141.1</c:v>
                </c:pt>
                <c:pt idx="3">
                  <c:v>190.8</c:v>
                </c:pt>
                <c:pt idx="4">
                  <c:v>239.9</c:v>
                </c:pt>
                <c:pt idx="5">
                  <c:v>289</c:v>
                </c:pt>
                <c:pt idx="6">
                  <c:v>332.8</c:v>
                </c:pt>
                <c:pt idx="7">
                  <c:v>378.4</c:v>
                </c:pt>
                <c:pt idx="8">
                  <c:v>434.8</c:v>
                </c:pt>
                <c:pt idx="9">
                  <c:v>477.3</c:v>
                </c:pt>
                <c:pt idx="10">
                  <c:v>536.79999999999995</c:v>
                </c:pt>
                <c:pt idx="11">
                  <c:v>593.1</c:v>
                </c:pt>
                <c:pt idx="12">
                  <c:v>689.1</c:v>
                </c:pt>
                <c:pt idx="13">
                  <c:v>760</c:v>
                </c:pt>
              </c:numCache>
            </c:numRef>
          </c:xVal>
          <c:yVal>
            <c:numRef>
              <c:f>'Ex14'!$C$9:$C$22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1B8-45E2-97BB-19F3E912E2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659327"/>
        <c:axId val="244657663"/>
      </c:scatterChart>
      <c:valAx>
        <c:axId val="2446593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44657663"/>
        <c:crosses val="autoZero"/>
        <c:crossBetween val="midCat"/>
      </c:valAx>
      <c:valAx>
        <c:axId val="244657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446593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Ex14S!$A$11:$A$24</c:f>
              <c:numCache>
                <c:formatCode>General</c:formatCode>
                <c:ptCount val="14"/>
                <c:pt idx="0">
                  <c:v>77.599999999999994</c:v>
                </c:pt>
                <c:pt idx="1">
                  <c:v>114.9</c:v>
                </c:pt>
                <c:pt idx="2">
                  <c:v>141.1</c:v>
                </c:pt>
                <c:pt idx="3">
                  <c:v>190.8</c:v>
                </c:pt>
                <c:pt idx="4">
                  <c:v>239.9</c:v>
                </c:pt>
                <c:pt idx="5">
                  <c:v>289</c:v>
                </c:pt>
                <c:pt idx="6">
                  <c:v>332.8</c:v>
                </c:pt>
                <c:pt idx="7">
                  <c:v>378.4</c:v>
                </c:pt>
                <c:pt idx="8">
                  <c:v>434.8</c:v>
                </c:pt>
                <c:pt idx="9">
                  <c:v>477.3</c:v>
                </c:pt>
                <c:pt idx="10">
                  <c:v>536.79999999999995</c:v>
                </c:pt>
                <c:pt idx="11">
                  <c:v>593.1</c:v>
                </c:pt>
                <c:pt idx="12">
                  <c:v>689.1</c:v>
                </c:pt>
                <c:pt idx="13">
                  <c:v>760</c:v>
                </c:pt>
              </c:numCache>
            </c:numRef>
          </c:xVal>
          <c:yVal>
            <c:numRef>
              <c:f>Ex14S!$B$11:$B$24</c:f>
              <c:numCache>
                <c:formatCode>General</c:formatCode>
                <c:ptCount val="14"/>
                <c:pt idx="0">
                  <c:v>10.07</c:v>
                </c:pt>
                <c:pt idx="1">
                  <c:v>14.73</c:v>
                </c:pt>
                <c:pt idx="2">
                  <c:v>17.940000000000001</c:v>
                </c:pt>
                <c:pt idx="3">
                  <c:v>23.93</c:v>
                </c:pt>
                <c:pt idx="4">
                  <c:v>29.61</c:v>
                </c:pt>
                <c:pt idx="5">
                  <c:v>35.18</c:v>
                </c:pt>
                <c:pt idx="6">
                  <c:v>40.020000000000003</c:v>
                </c:pt>
                <c:pt idx="7">
                  <c:v>44.82</c:v>
                </c:pt>
                <c:pt idx="8">
                  <c:v>50.76</c:v>
                </c:pt>
                <c:pt idx="9">
                  <c:v>55.05</c:v>
                </c:pt>
                <c:pt idx="10">
                  <c:v>61.01</c:v>
                </c:pt>
                <c:pt idx="11">
                  <c:v>66.400000000000006</c:v>
                </c:pt>
                <c:pt idx="12">
                  <c:v>75.47</c:v>
                </c:pt>
                <c:pt idx="13">
                  <c:v>81.78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9C-42C4-9C54-9381011A692B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Ex14S!$A$11:$A$24</c:f>
              <c:numCache>
                <c:formatCode>General</c:formatCode>
                <c:ptCount val="14"/>
                <c:pt idx="0">
                  <c:v>77.599999999999994</c:v>
                </c:pt>
                <c:pt idx="1">
                  <c:v>114.9</c:v>
                </c:pt>
                <c:pt idx="2">
                  <c:v>141.1</c:v>
                </c:pt>
                <c:pt idx="3">
                  <c:v>190.8</c:v>
                </c:pt>
                <c:pt idx="4">
                  <c:v>239.9</c:v>
                </c:pt>
                <c:pt idx="5">
                  <c:v>289</c:v>
                </c:pt>
                <c:pt idx="6">
                  <c:v>332.8</c:v>
                </c:pt>
                <c:pt idx="7">
                  <c:v>378.4</c:v>
                </c:pt>
                <c:pt idx="8">
                  <c:v>434.8</c:v>
                </c:pt>
                <c:pt idx="9">
                  <c:v>477.3</c:v>
                </c:pt>
                <c:pt idx="10">
                  <c:v>536.79999999999995</c:v>
                </c:pt>
                <c:pt idx="11">
                  <c:v>593.1</c:v>
                </c:pt>
                <c:pt idx="12">
                  <c:v>689.1</c:v>
                </c:pt>
                <c:pt idx="13">
                  <c:v>760</c:v>
                </c:pt>
              </c:numCache>
            </c:numRef>
          </c:xVal>
          <c:yVal>
            <c:numRef>
              <c:f>Ex14S!$C$11:$C$24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D9C-42C4-9C54-9381011A6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659327"/>
        <c:axId val="244657663"/>
      </c:scatterChart>
      <c:valAx>
        <c:axId val="2446593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44657663"/>
        <c:crosses val="autoZero"/>
        <c:crossBetween val="midCat"/>
      </c:valAx>
      <c:valAx>
        <c:axId val="244657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446593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1</xdr:row>
          <xdr:rowOff>0</xdr:rowOff>
        </xdr:from>
        <xdr:to>
          <xdr:col>3</xdr:col>
          <xdr:colOff>0</xdr:colOff>
          <xdr:row>2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12700</xdr:rowOff>
        </xdr:from>
        <xdr:to>
          <xdr:col>5</xdr:col>
          <xdr:colOff>12700</xdr:colOff>
          <xdr:row>2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0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1</xdr:row>
          <xdr:rowOff>0</xdr:rowOff>
        </xdr:from>
        <xdr:to>
          <xdr:col>3</xdr:col>
          <xdr:colOff>0</xdr:colOff>
          <xdr:row>2</xdr:row>
          <xdr:rowOff>0</xdr:rowOff>
        </xdr:to>
        <xdr:sp macro="" textlink="">
          <xdr:nvSpPr>
            <xdr:cNvPr id="67585" name="Button 1" hidden="1">
              <a:extLst>
                <a:ext uri="{63B3BB69-23CF-44E3-9099-C40C66FF867C}">
                  <a14:compatExt spid="_x0000_s67585"/>
                </a:ext>
                <a:ext uri="{FF2B5EF4-FFF2-40B4-BE49-F238E27FC236}">
                  <a16:creationId xmlns:a16="http://schemas.microsoft.com/office/drawing/2014/main" id="{00000000-0008-0000-0200-000001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12700</xdr:rowOff>
        </xdr:from>
        <xdr:to>
          <xdr:col>5</xdr:col>
          <xdr:colOff>12700</xdr:colOff>
          <xdr:row>2</xdr:row>
          <xdr:rowOff>0</xdr:rowOff>
        </xdr:to>
        <xdr:sp macro="" textlink="">
          <xdr:nvSpPr>
            <xdr:cNvPr id="67586" name="Button 2" hidden="1">
              <a:extLst>
                <a:ext uri="{63B3BB69-23CF-44E3-9099-C40C66FF867C}">
                  <a14:compatExt spid="_x0000_s67586"/>
                </a:ext>
                <a:ext uri="{FF2B5EF4-FFF2-40B4-BE49-F238E27FC236}">
                  <a16:creationId xmlns:a16="http://schemas.microsoft.com/office/drawing/2014/main" id="{00000000-0008-0000-0200-000002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12700</xdr:rowOff>
        </xdr:from>
        <xdr:to>
          <xdr:col>4</xdr:col>
          <xdr:colOff>679450</xdr:colOff>
          <xdr:row>2</xdr:row>
          <xdr:rowOff>12700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679450</xdr:colOff>
          <xdr:row>1</xdr:row>
          <xdr:rowOff>19050</xdr:rowOff>
        </xdr:from>
        <xdr:to>
          <xdr:col>7</xdr:col>
          <xdr:colOff>0</xdr:colOff>
          <xdr:row>2</xdr:row>
          <xdr:rowOff>12700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</xdr:row>
      <xdr:rowOff>238124</xdr:rowOff>
    </xdr:from>
    <xdr:to>
      <xdr:col>13</xdr:col>
      <xdr:colOff>676275</xdr:colOff>
      <xdr:row>20</xdr:row>
      <xdr:rowOff>9524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12700</xdr:rowOff>
        </xdr:from>
        <xdr:to>
          <xdr:col>3</xdr:col>
          <xdr:colOff>679450</xdr:colOff>
          <xdr:row>2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679450</xdr:colOff>
          <xdr:row>1</xdr:row>
          <xdr:rowOff>19050</xdr:rowOff>
        </xdr:from>
        <xdr:to>
          <xdr:col>6</xdr:col>
          <xdr:colOff>0</xdr:colOff>
          <xdr:row>2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6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</xdr:row>
      <xdr:rowOff>0</xdr:rowOff>
    </xdr:from>
    <xdr:to>
      <xdr:col>13</xdr:col>
      <xdr:colOff>676275</xdr:colOff>
      <xdr:row>19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681037</xdr:colOff>
      <xdr:row>2</xdr:row>
      <xdr:rowOff>228601</xdr:rowOff>
    </xdr:from>
    <xdr:to>
      <xdr:col>12</xdr:col>
      <xdr:colOff>676275</xdr:colOff>
      <xdr:row>18</xdr:row>
      <xdr:rowOff>9525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869950</xdr:colOff>
          <xdr:row>1</xdr:row>
          <xdr:rowOff>12700</xdr:rowOff>
        </xdr:from>
        <xdr:to>
          <xdr:col>3</xdr:col>
          <xdr:colOff>228600</xdr:colOff>
          <xdr:row>2</xdr:row>
          <xdr:rowOff>12700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8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1</xdr:row>
          <xdr:rowOff>12700</xdr:rowOff>
        </xdr:from>
        <xdr:to>
          <xdr:col>4</xdr:col>
          <xdr:colOff>952500</xdr:colOff>
          <xdr:row>2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8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681036</xdr:colOff>
      <xdr:row>1</xdr:row>
      <xdr:rowOff>228600</xdr:rowOff>
    </xdr:from>
    <xdr:to>
      <xdr:col>13</xdr:col>
      <xdr:colOff>685799</xdr:colOff>
      <xdr:row>16</xdr:row>
      <xdr:rowOff>238124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1</xdr:row>
          <xdr:rowOff>12700</xdr:rowOff>
        </xdr:from>
        <xdr:to>
          <xdr:col>2</xdr:col>
          <xdr:colOff>685800</xdr:colOff>
          <xdr:row>2</xdr:row>
          <xdr:rowOff>12700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A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241300</xdr:colOff>
          <xdr:row>1</xdr:row>
          <xdr:rowOff>19050</xdr:rowOff>
        </xdr:from>
        <xdr:to>
          <xdr:col>4</xdr:col>
          <xdr:colOff>0</xdr:colOff>
          <xdr:row>2</xdr:row>
          <xdr:rowOff>12700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A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14286</xdr:colOff>
      <xdr:row>0</xdr:row>
      <xdr:rowOff>157162</xdr:rowOff>
    </xdr:from>
    <xdr:to>
      <xdr:col>9</xdr:col>
      <xdr:colOff>9525</xdr:colOff>
      <xdr:row>16</xdr:row>
      <xdr:rowOff>157162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1</xdr:row>
          <xdr:rowOff>12700</xdr:rowOff>
        </xdr:from>
        <xdr:to>
          <xdr:col>2</xdr:col>
          <xdr:colOff>0</xdr:colOff>
          <xdr:row>2</xdr:row>
          <xdr:rowOff>12700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C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12700</xdr:rowOff>
        </xdr:from>
        <xdr:to>
          <xdr:col>2</xdr:col>
          <xdr:colOff>679450</xdr:colOff>
          <xdr:row>2</xdr:row>
          <xdr:rowOff>12700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E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5</xdr:col>
          <xdr:colOff>12700</xdr:colOff>
          <xdr:row>2</xdr:row>
          <xdr:rowOff>12700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E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12700</xdr:rowOff>
        </xdr:from>
        <xdr:to>
          <xdr:col>2</xdr:col>
          <xdr:colOff>679450</xdr:colOff>
          <xdr:row>2</xdr:row>
          <xdr:rowOff>12700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0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5</xdr:col>
          <xdr:colOff>12700</xdr:colOff>
          <xdr:row>2</xdr:row>
          <xdr:rowOff>12700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10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14286</xdr:colOff>
      <xdr:row>0</xdr:row>
      <xdr:rowOff>157162</xdr:rowOff>
    </xdr:from>
    <xdr:to>
      <xdr:col>9</xdr:col>
      <xdr:colOff>9525</xdr:colOff>
      <xdr:row>16</xdr:row>
      <xdr:rowOff>157162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1</xdr:row>
          <xdr:rowOff>12700</xdr:rowOff>
        </xdr:from>
        <xdr:to>
          <xdr:col>2</xdr:col>
          <xdr:colOff>0</xdr:colOff>
          <xdr:row>2</xdr:row>
          <xdr:rowOff>12700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1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12700</xdr:rowOff>
        </xdr:from>
        <xdr:to>
          <xdr:col>2</xdr:col>
          <xdr:colOff>679450</xdr:colOff>
          <xdr:row>2</xdr:row>
          <xdr:rowOff>12700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13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5</xdr:col>
          <xdr:colOff>12700</xdr:colOff>
          <xdr:row>2</xdr:row>
          <xdr:rowOff>12700</xdr:rowOff>
        </xdr:to>
        <xdr:sp macro="" textlink="">
          <xdr:nvSpPr>
            <xdr:cNvPr id="20484" name="Button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13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1</xdr:row>
          <xdr:rowOff>12700</xdr:rowOff>
        </xdr:from>
        <xdr:to>
          <xdr:col>1</xdr:col>
          <xdr:colOff>685800</xdr:colOff>
          <xdr:row>2</xdr:row>
          <xdr:rowOff>12700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5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260350</xdr:colOff>
          <xdr:row>1</xdr:row>
          <xdr:rowOff>0</xdr:rowOff>
        </xdr:from>
        <xdr:to>
          <xdr:col>2</xdr:col>
          <xdr:colOff>952500</xdr:colOff>
          <xdr:row>2</xdr:row>
          <xdr:rowOff>12700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15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1</xdr:row>
          <xdr:rowOff>12700</xdr:rowOff>
        </xdr:from>
        <xdr:to>
          <xdr:col>1</xdr:col>
          <xdr:colOff>685800</xdr:colOff>
          <xdr:row>2</xdr:row>
          <xdr:rowOff>12700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7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1</xdr:row>
          <xdr:rowOff>0</xdr:rowOff>
        </xdr:from>
        <xdr:to>
          <xdr:col>3</xdr:col>
          <xdr:colOff>19050</xdr:colOff>
          <xdr:row>2</xdr:row>
          <xdr:rowOff>12700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17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1</xdr:row>
          <xdr:rowOff>12700</xdr:rowOff>
        </xdr:from>
        <xdr:to>
          <xdr:col>1</xdr:col>
          <xdr:colOff>685800</xdr:colOff>
          <xdr:row>2</xdr:row>
          <xdr:rowOff>12700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9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260350</xdr:colOff>
          <xdr:row>1</xdr:row>
          <xdr:rowOff>0</xdr:rowOff>
        </xdr:from>
        <xdr:to>
          <xdr:col>3</xdr:col>
          <xdr:colOff>952500</xdr:colOff>
          <xdr:row>2</xdr:row>
          <xdr:rowOff>12700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9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1</xdr:row>
          <xdr:rowOff>12700</xdr:rowOff>
        </xdr:from>
        <xdr:to>
          <xdr:col>3</xdr:col>
          <xdr:colOff>0</xdr:colOff>
          <xdr:row>2</xdr:row>
          <xdr:rowOff>12700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19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Start_d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1</xdr:row>
          <xdr:rowOff>12700</xdr:rowOff>
        </xdr:from>
        <xdr:to>
          <xdr:col>2</xdr:col>
          <xdr:colOff>685800</xdr:colOff>
          <xdr:row>2</xdr:row>
          <xdr:rowOff>12700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B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3</xdr:col>
          <xdr:colOff>711200</xdr:colOff>
          <xdr:row>2</xdr:row>
          <xdr:rowOff>6350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1B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1</xdr:row>
          <xdr:rowOff>12700</xdr:rowOff>
        </xdr:from>
        <xdr:to>
          <xdr:col>2</xdr:col>
          <xdr:colOff>685800</xdr:colOff>
          <xdr:row>2</xdr:row>
          <xdr:rowOff>12700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1D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3</xdr:col>
          <xdr:colOff>660400</xdr:colOff>
          <xdr:row>2</xdr:row>
          <xdr:rowOff>12700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1D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14287</xdr:colOff>
      <xdr:row>1</xdr:row>
      <xdr:rowOff>4762</xdr:rowOff>
    </xdr:from>
    <xdr:to>
      <xdr:col>14</xdr:col>
      <xdr:colOff>209550</xdr:colOff>
      <xdr:row>17</xdr:row>
      <xdr:rowOff>4762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4762</xdr:colOff>
      <xdr:row>18</xdr:row>
      <xdr:rowOff>0</xdr:rowOff>
    </xdr:from>
    <xdr:to>
      <xdr:col>14</xdr:col>
      <xdr:colOff>209550</xdr:colOff>
      <xdr:row>31</xdr:row>
      <xdr:rowOff>9525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681037</xdr:colOff>
      <xdr:row>5</xdr:row>
      <xdr:rowOff>0</xdr:rowOff>
    </xdr:from>
    <xdr:to>
      <xdr:col>12</xdr:col>
      <xdr:colOff>452437</xdr:colOff>
      <xdr:row>19</xdr:row>
      <xdr:rowOff>219074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12700</xdr:rowOff>
        </xdr:from>
        <xdr:to>
          <xdr:col>2</xdr:col>
          <xdr:colOff>679450</xdr:colOff>
          <xdr:row>2</xdr:row>
          <xdr:rowOff>12700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2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679450</xdr:colOff>
          <xdr:row>1</xdr:row>
          <xdr:rowOff>0</xdr:rowOff>
        </xdr:from>
        <xdr:to>
          <xdr:col>5</xdr:col>
          <xdr:colOff>0</xdr:colOff>
          <xdr:row>2</xdr:row>
          <xdr:rowOff>12700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2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681037</xdr:colOff>
      <xdr:row>8</xdr:row>
      <xdr:rowOff>228600</xdr:rowOff>
    </xdr:from>
    <xdr:to>
      <xdr:col>11</xdr:col>
      <xdr:colOff>452437</xdr:colOff>
      <xdr:row>23</xdr:row>
      <xdr:rowOff>209549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1</xdr:row>
          <xdr:rowOff>12700</xdr:rowOff>
        </xdr:from>
        <xdr:to>
          <xdr:col>2</xdr:col>
          <xdr:colOff>685800</xdr:colOff>
          <xdr:row>2</xdr:row>
          <xdr:rowOff>12700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22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5</xdr:col>
          <xdr:colOff>0</xdr:colOff>
          <xdr:row>2</xdr:row>
          <xdr:rowOff>12700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22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FEM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7</xdr:col>
          <xdr:colOff>0</xdr:colOff>
          <xdr:row>2</xdr:row>
          <xdr:rowOff>12700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22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36CD059-8ABC-44EE-8A7E-2BB547D5C3D7}">
  <we:reference id="wa104380862" version="1.5.0.0" store="ja-JP" storeType="OMEX"/>
  <we:alternateReferences>
    <we:reference id="WA104380862" version="1.5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0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3.xml"/><Relationship Id="rId4" Type="http://schemas.openxmlformats.org/officeDocument/2006/relationships/ctrlProp" Target="../ctrlProps/ctrlProp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2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5.xml"/><Relationship Id="rId4" Type="http://schemas.openxmlformats.org/officeDocument/2006/relationships/ctrlProp" Target="../ctrlProps/ctrlProp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6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7.xml"/><Relationship Id="rId4" Type="http://schemas.openxmlformats.org/officeDocument/2006/relationships/ctrlProp" Target="../ctrlProps/ctrlProp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8.xml"/><Relationship Id="rId4" Type="http://schemas.openxmlformats.org/officeDocument/2006/relationships/ctrlProp" Target="../ctrlProps/ctrlProp31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20.xml"/><Relationship Id="rId4" Type="http://schemas.openxmlformats.org/officeDocument/2006/relationships/ctrlProp" Target="../ctrlProps/ctrlProp33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7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22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C7CFAD-8C27-437A-A5C9-BF60D38C9156}">
  <sheetPr codeName="Sheet1"/>
  <dimension ref="A1:F9"/>
  <sheetViews>
    <sheetView tabSelected="1" workbookViewId="0"/>
  </sheetViews>
  <sheetFormatPr defaultRowHeight="18" x14ac:dyDescent="0.55000000000000004"/>
  <sheetData>
    <row r="1" spans="1:6" x14ac:dyDescent="0.55000000000000004">
      <c r="A1" t="s">
        <v>133</v>
      </c>
    </row>
    <row r="4" spans="1:6" x14ac:dyDescent="0.55000000000000004">
      <c r="A4" s="59" t="s">
        <v>0</v>
      </c>
      <c r="B4" s="63"/>
      <c r="C4" s="60"/>
      <c r="D4" s="62" t="s">
        <v>1</v>
      </c>
      <c r="E4" s="62" t="s">
        <v>2</v>
      </c>
    </row>
    <row r="5" spans="1:6" x14ac:dyDescent="0.55000000000000004">
      <c r="A5" s="1">
        <v>10</v>
      </c>
      <c r="B5" s="2">
        <v>-7</v>
      </c>
      <c r="C5" s="3">
        <v>0</v>
      </c>
      <c r="D5" s="4">
        <v>7</v>
      </c>
      <c r="E5" s="13"/>
    </row>
    <row r="6" spans="1:6" x14ac:dyDescent="0.55000000000000004">
      <c r="A6" s="5">
        <v>-3</v>
      </c>
      <c r="B6" s="6">
        <v>2</v>
      </c>
      <c r="C6" s="7">
        <v>6</v>
      </c>
      <c r="D6" s="8">
        <v>4</v>
      </c>
      <c r="E6" s="14"/>
    </row>
    <row r="7" spans="1:6" x14ac:dyDescent="0.55000000000000004">
      <c r="A7" s="9">
        <v>5</v>
      </c>
      <c r="B7" s="10">
        <v>-1</v>
      </c>
      <c r="C7" s="11">
        <v>5</v>
      </c>
      <c r="D7" s="12">
        <v>6</v>
      </c>
      <c r="E7" s="15"/>
    </row>
    <row r="8" spans="1:6" x14ac:dyDescent="0.55000000000000004">
      <c r="E8" s="16"/>
      <c r="F8" t="s">
        <v>4</v>
      </c>
    </row>
    <row r="9" spans="1:6" x14ac:dyDescent="0.55000000000000004">
      <c r="E9" s="16"/>
      <c r="F9" t="s">
        <v>6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Ex2.Start">
                <anchor moveWithCells="1" sizeWithCells="1">
                  <from>
                    <xdr:col>2</xdr:col>
                    <xdr:colOff>12700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Ex2.Clear">
                <anchor moveWithCells="1" sizeWithCells="1">
                  <from>
                    <xdr:col>4</xdr:col>
                    <xdr:colOff>0</xdr:colOff>
                    <xdr:row>1</xdr:row>
                    <xdr:rowOff>12700</xdr:rowOff>
                  </from>
                  <to>
                    <xdr:col>5</xdr:col>
                    <xdr:colOff>12700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2DBA83-6F7C-47DF-93FF-1C310E4CE9DD}">
  <sheetPr codeName="Sheet2"/>
  <dimension ref="A1:F8"/>
  <sheetViews>
    <sheetView workbookViewId="0">
      <selection activeCell="E4" sqref="E4:E8"/>
    </sheetView>
  </sheetViews>
  <sheetFormatPr defaultRowHeight="18" x14ac:dyDescent="0.55000000000000004"/>
  <sheetData>
    <row r="1" spans="1:6" x14ac:dyDescent="0.55000000000000004">
      <c r="A1" t="s">
        <v>134</v>
      </c>
    </row>
    <row r="3" spans="1:6" x14ac:dyDescent="0.55000000000000004">
      <c r="A3" s="59" t="s">
        <v>0</v>
      </c>
      <c r="B3" s="63"/>
      <c r="C3" s="60"/>
      <c r="D3" s="62" t="s">
        <v>1</v>
      </c>
      <c r="E3" s="62" t="s">
        <v>2</v>
      </c>
    </row>
    <row r="4" spans="1:6" x14ac:dyDescent="0.55000000000000004">
      <c r="A4" s="1">
        <v>10</v>
      </c>
      <c r="B4" s="2">
        <v>-7</v>
      </c>
      <c r="C4" s="3">
        <v>0</v>
      </c>
      <c r="D4" s="4">
        <v>7</v>
      </c>
      <c r="E4" s="13">
        <f t="array" ref="E4:E8">_xll.WDgesv(3,A4:C6,D4:D6)</f>
        <v>0</v>
      </c>
    </row>
    <row r="5" spans="1:6" x14ac:dyDescent="0.55000000000000004">
      <c r="A5" s="5">
        <v>-3</v>
      </c>
      <c r="B5" s="6">
        <v>2</v>
      </c>
      <c r="C5" s="7">
        <v>6</v>
      </c>
      <c r="D5" s="8">
        <v>4</v>
      </c>
      <c r="E5" s="14">
        <v>-1</v>
      </c>
    </row>
    <row r="6" spans="1:6" x14ac:dyDescent="0.55000000000000004">
      <c r="A6" s="9">
        <v>5</v>
      </c>
      <c r="B6" s="10">
        <v>-1</v>
      </c>
      <c r="C6" s="11">
        <v>5</v>
      </c>
      <c r="D6" s="12">
        <v>6</v>
      </c>
      <c r="E6" s="15">
        <v>1</v>
      </c>
    </row>
    <row r="7" spans="1:6" x14ac:dyDescent="0.55000000000000004">
      <c r="E7" s="16">
        <v>7.8282828282828287E-2</v>
      </c>
      <c r="F7" t="s">
        <v>3</v>
      </c>
    </row>
    <row r="8" spans="1:6" x14ac:dyDescent="0.55000000000000004">
      <c r="E8" s="16">
        <v>0</v>
      </c>
      <c r="F8" t="s">
        <v>5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8F566-21F5-4F10-B608-7D178184E2BE}">
  <sheetPr codeName="Sheet34"/>
  <dimension ref="A1:F9"/>
  <sheetViews>
    <sheetView workbookViewId="0"/>
  </sheetViews>
  <sheetFormatPr defaultRowHeight="18" x14ac:dyDescent="0.55000000000000004"/>
  <sheetData>
    <row r="1" spans="1:6" x14ac:dyDescent="0.55000000000000004">
      <c r="A1" t="s">
        <v>135</v>
      </c>
    </row>
    <row r="4" spans="1:6" x14ac:dyDescent="0.55000000000000004">
      <c r="A4" s="59" t="s">
        <v>0</v>
      </c>
      <c r="B4" s="63"/>
      <c r="C4" s="60"/>
      <c r="D4" s="62" t="s">
        <v>1</v>
      </c>
      <c r="E4" s="62" t="s">
        <v>2</v>
      </c>
    </row>
    <row r="5" spans="1:6" x14ac:dyDescent="0.55000000000000004">
      <c r="A5" s="1">
        <v>2.2000000000000002</v>
      </c>
      <c r="B5" s="2"/>
      <c r="C5" s="3"/>
      <c r="D5" s="4">
        <v>-1.5660000000000001</v>
      </c>
      <c r="E5" s="13"/>
    </row>
    <row r="6" spans="1:6" x14ac:dyDescent="0.55000000000000004">
      <c r="A6" s="5">
        <v>-0.11</v>
      </c>
      <c r="B6" s="6">
        <v>2.93</v>
      </c>
      <c r="C6" s="7"/>
      <c r="D6" s="8">
        <v>-2.8424999999999998</v>
      </c>
      <c r="E6" s="14"/>
    </row>
    <row r="7" spans="1:6" x14ac:dyDescent="0.55000000000000004">
      <c r="A7" s="9">
        <v>-0.32</v>
      </c>
      <c r="B7" s="10">
        <v>0.81</v>
      </c>
      <c r="C7" s="11">
        <v>2.37</v>
      </c>
      <c r="D7" s="12">
        <v>-1.1765000000000001</v>
      </c>
      <c r="E7" s="15"/>
    </row>
    <row r="8" spans="1:6" x14ac:dyDescent="0.55000000000000004">
      <c r="E8" s="16"/>
      <c r="F8" t="s">
        <v>4</v>
      </c>
    </row>
    <row r="9" spans="1:6" x14ac:dyDescent="0.55000000000000004">
      <c r="E9" s="16"/>
      <c r="F9" t="s">
        <v>6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585" r:id="rId4" name="Button 1">
              <controlPr defaultSize="0" print="0" autoFill="0" autoPict="0" macro="[0]!Ex2.Start_2">
                <anchor moveWithCells="1" sizeWithCells="1">
                  <from>
                    <xdr:col>2</xdr:col>
                    <xdr:colOff>12700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6" r:id="rId5" name="Button 2">
              <controlPr defaultSize="0" print="0" autoFill="0" autoPict="0" macro="[0]!Ex2.Clear_2">
                <anchor moveWithCells="1" sizeWithCells="1">
                  <from>
                    <xdr:col>4</xdr:col>
                    <xdr:colOff>0</xdr:colOff>
                    <xdr:row>1</xdr:row>
                    <xdr:rowOff>12700</xdr:rowOff>
                  </from>
                  <to>
                    <xdr:col>5</xdr:col>
                    <xdr:colOff>12700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395168-4326-4229-A413-05C880802C4E}">
  <sheetPr codeName="Sheet35"/>
  <dimension ref="A1:F8"/>
  <sheetViews>
    <sheetView workbookViewId="0">
      <selection activeCell="E4" sqref="E4:E8"/>
    </sheetView>
  </sheetViews>
  <sheetFormatPr defaultRowHeight="18" x14ac:dyDescent="0.55000000000000004"/>
  <sheetData>
    <row r="1" spans="1:6" x14ac:dyDescent="0.55000000000000004">
      <c r="A1" t="s">
        <v>136</v>
      </c>
    </row>
    <row r="3" spans="1:6" x14ac:dyDescent="0.55000000000000004">
      <c r="A3" s="59" t="s">
        <v>0</v>
      </c>
      <c r="B3" s="63"/>
      <c r="C3" s="60"/>
      <c r="D3" s="62" t="s">
        <v>1</v>
      </c>
      <c r="E3" s="62" t="s">
        <v>2</v>
      </c>
    </row>
    <row r="4" spans="1:6" x14ac:dyDescent="0.55000000000000004">
      <c r="A4" s="1">
        <v>2.2000000000000002</v>
      </c>
      <c r="B4" s="2"/>
      <c r="C4" s="3"/>
      <c r="D4" s="4">
        <v>-1.5660000000000001</v>
      </c>
      <c r="E4" s="13">
        <f t="array" ref="E4:E8">_xll.WDposv("L",3,A4:C6,D4:D6)</f>
        <v>-0.79999999999999993</v>
      </c>
    </row>
    <row r="5" spans="1:6" x14ac:dyDescent="0.55000000000000004">
      <c r="A5" s="5">
        <v>-0.11</v>
      </c>
      <c r="B5" s="6">
        <v>2.93</v>
      </c>
      <c r="C5" s="7"/>
      <c r="D5" s="8">
        <v>-2.8424999999999998</v>
      </c>
      <c r="E5" s="14">
        <v>-0.91999999999999993</v>
      </c>
    </row>
    <row r="6" spans="1:6" x14ac:dyDescent="0.55000000000000004">
      <c r="A6" s="9">
        <v>-0.32</v>
      </c>
      <c r="B6" s="10">
        <v>0.81</v>
      </c>
      <c r="C6" s="11">
        <v>2.37</v>
      </c>
      <c r="D6" s="12">
        <v>-1.1765000000000001</v>
      </c>
      <c r="E6" s="15">
        <v>-0.29000000000000004</v>
      </c>
    </row>
    <row r="7" spans="1:6" x14ac:dyDescent="0.55000000000000004">
      <c r="E7" s="16">
        <v>0.44679107806895568</v>
      </c>
      <c r="F7" t="s">
        <v>3</v>
      </c>
    </row>
    <row r="8" spans="1:6" x14ac:dyDescent="0.55000000000000004">
      <c r="E8" s="16">
        <v>0</v>
      </c>
      <c r="F8" t="s">
        <v>5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8E43F-5E2A-4FD2-AE72-D8F60EF222AE}">
  <sheetPr codeName="Sheet3"/>
  <dimension ref="A1:G9"/>
  <sheetViews>
    <sheetView workbookViewId="0"/>
  </sheetViews>
  <sheetFormatPr defaultRowHeight="18" x14ac:dyDescent="0.55000000000000004"/>
  <sheetData>
    <row r="1" spans="1:7" x14ac:dyDescent="0.55000000000000004">
      <c r="A1" t="s">
        <v>7</v>
      </c>
    </row>
    <row r="4" spans="1:7" x14ac:dyDescent="0.55000000000000004">
      <c r="A4" s="59" t="s">
        <v>0</v>
      </c>
      <c r="B4" s="63"/>
      <c r="C4" s="60"/>
      <c r="D4" s="62" t="s">
        <v>8</v>
      </c>
      <c r="E4" s="59" t="s">
        <v>9</v>
      </c>
      <c r="F4" s="64"/>
      <c r="G4" s="60"/>
    </row>
    <row r="5" spans="1:7" x14ac:dyDescent="0.55000000000000004">
      <c r="A5" s="21">
        <v>10</v>
      </c>
      <c r="B5" s="2">
        <v>-3</v>
      </c>
      <c r="C5" s="22">
        <v>5</v>
      </c>
      <c r="D5" s="13"/>
      <c r="E5" s="27"/>
      <c r="F5" s="28"/>
      <c r="G5" s="29"/>
    </row>
    <row r="6" spans="1:7" x14ac:dyDescent="0.55000000000000004">
      <c r="A6" s="23">
        <v>-3</v>
      </c>
      <c r="B6" s="6">
        <v>2</v>
      </c>
      <c r="C6" s="24">
        <v>-1</v>
      </c>
      <c r="D6" s="14"/>
      <c r="E6" s="30"/>
      <c r="F6" s="31"/>
      <c r="G6" s="32"/>
    </row>
    <row r="7" spans="1:7" x14ac:dyDescent="0.55000000000000004">
      <c r="A7" s="25">
        <v>5</v>
      </c>
      <c r="B7" s="10">
        <v>-1</v>
      </c>
      <c r="C7" s="26">
        <v>5</v>
      </c>
      <c r="D7" s="15"/>
      <c r="E7" s="33"/>
      <c r="F7" s="34"/>
      <c r="G7" s="35"/>
    </row>
    <row r="8" spans="1:7" x14ac:dyDescent="0.55000000000000004">
      <c r="D8" s="16"/>
    </row>
    <row r="9" spans="1:7" x14ac:dyDescent="0.55000000000000004">
      <c r="D9" t="s">
        <v>10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Ex3.Start">
                <anchor moveWithCells="1" sizeWithCells="1">
                  <from>
                    <xdr:col>4</xdr:col>
                    <xdr:colOff>0</xdr:colOff>
                    <xdr:row>1</xdr:row>
                    <xdr:rowOff>12700</xdr:rowOff>
                  </from>
                  <to>
                    <xdr:col>4</xdr:col>
                    <xdr:colOff>679450</xdr:colOff>
                    <xdr:row>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Ex3.Clear">
                <anchor moveWithCells="1" sizeWithCells="1">
                  <from>
                    <xdr:col>5</xdr:col>
                    <xdr:colOff>679450</xdr:colOff>
                    <xdr:row>1</xdr:row>
                    <xdr:rowOff>19050</xdr:rowOff>
                  </from>
                  <to>
                    <xdr:col>7</xdr:col>
                    <xdr:colOff>0</xdr:colOff>
                    <xdr:row>2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AC58E-B187-4A4E-AD82-205D2F2D014B}">
  <sheetPr codeName="Sheet4"/>
  <dimension ref="A1:G8"/>
  <sheetViews>
    <sheetView workbookViewId="0">
      <selection activeCell="D4" sqref="D4:G7"/>
    </sheetView>
  </sheetViews>
  <sheetFormatPr defaultRowHeight="18" x14ac:dyDescent="0.55000000000000004"/>
  <sheetData>
    <row r="1" spans="1:7" x14ac:dyDescent="0.55000000000000004">
      <c r="A1" t="s">
        <v>7</v>
      </c>
    </row>
    <row r="3" spans="1:7" x14ac:dyDescent="0.55000000000000004">
      <c r="A3" s="59" t="s">
        <v>0</v>
      </c>
      <c r="B3" s="63"/>
      <c r="C3" s="60"/>
      <c r="D3" s="62" t="s">
        <v>8</v>
      </c>
      <c r="E3" s="59" t="s">
        <v>9</v>
      </c>
      <c r="F3" s="64"/>
      <c r="G3" s="60"/>
    </row>
    <row r="4" spans="1:7" x14ac:dyDescent="0.55000000000000004">
      <c r="A4" s="21">
        <v>10</v>
      </c>
      <c r="B4" s="2">
        <v>-3</v>
      </c>
      <c r="C4" s="22">
        <v>5</v>
      </c>
      <c r="D4" s="13">
        <f t="array" ref="D4:G7">_xll.WDsyev("V","L",3,A4:C6)</f>
        <v>0.7686791705465863</v>
      </c>
      <c r="E4" s="27">
        <v>-0.45166687380302112</v>
      </c>
      <c r="F4" s="28">
        <v>0.32410113737877921</v>
      </c>
      <c r="G4" s="29">
        <v>-0.83123732342742374</v>
      </c>
    </row>
    <row r="5" spans="1:7" x14ac:dyDescent="0.55000000000000004">
      <c r="A5" s="23">
        <v>-3</v>
      </c>
      <c r="B5" s="6">
        <v>2</v>
      </c>
      <c r="C5" s="24">
        <v>-1</v>
      </c>
      <c r="D5" s="14">
        <v>2.3415265230316211</v>
      </c>
      <c r="E5" s="30">
        <v>-0.82541907866058828</v>
      </c>
      <c r="F5" s="31">
        <v>-0.5054338965512305</v>
      </c>
      <c r="G5" s="32">
        <v>0.25143571902207074</v>
      </c>
    </row>
    <row r="6" spans="1:7" x14ac:dyDescent="0.55000000000000004">
      <c r="A6" s="25">
        <v>5</v>
      </c>
      <c r="B6" s="10">
        <v>-1</v>
      </c>
      <c r="C6" s="26">
        <v>5</v>
      </c>
      <c r="D6" s="15">
        <v>13.889794306421793</v>
      </c>
      <c r="E6" s="33">
        <v>0.33864491682603409</v>
      </c>
      <c r="F6" s="34">
        <v>-0.79968433082487123</v>
      </c>
      <c r="G6" s="35">
        <v>-0.4958070101774143</v>
      </c>
    </row>
    <row r="7" spans="1:7" x14ac:dyDescent="0.55000000000000004">
      <c r="D7" s="16">
        <v>0</v>
      </c>
      <c r="E7">
        <v>0</v>
      </c>
      <c r="F7">
        <v>0</v>
      </c>
      <c r="G7">
        <v>0</v>
      </c>
    </row>
    <row r="8" spans="1:7" x14ac:dyDescent="0.55000000000000004">
      <c r="D8" t="s">
        <v>10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A865B-9B07-457C-8187-59C45BA6F716}">
  <sheetPr codeName="Sheet5"/>
  <dimension ref="A1:H40"/>
  <sheetViews>
    <sheetView workbookViewId="0"/>
  </sheetViews>
  <sheetFormatPr defaultRowHeight="18" x14ac:dyDescent="0.55000000000000004"/>
  <cols>
    <col min="6" max="6" width="9.33203125" bestFit="1" customWidth="1"/>
  </cols>
  <sheetData>
    <row r="1" spans="1:8" x14ac:dyDescent="0.55000000000000004">
      <c r="A1" t="s">
        <v>11</v>
      </c>
    </row>
    <row r="3" spans="1:8" x14ac:dyDescent="0.55000000000000004">
      <c r="H3" t="s">
        <v>12</v>
      </c>
    </row>
    <row r="4" spans="1:8" x14ac:dyDescent="0.55000000000000004">
      <c r="A4" s="62" t="s">
        <v>13</v>
      </c>
      <c r="B4" s="62" t="s">
        <v>14</v>
      </c>
      <c r="C4" s="59" t="s">
        <v>15</v>
      </c>
      <c r="D4" s="60"/>
      <c r="E4" s="62" t="s">
        <v>91</v>
      </c>
      <c r="F4" s="62" t="s">
        <v>17</v>
      </c>
    </row>
    <row r="5" spans="1:8" x14ac:dyDescent="0.55000000000000004">
      <c r="A5" s="4">
        <v>0.2</v>
      </c>
      <c r="B5" s="4">
        <v>0.1</v>
      </c>
      <c r="C5" s="40">
        <v>1</v>
      </c>
      <c r="D5" s="41">
        <f>A5^1</f>
        <v>0.2</v>
      </c>
      <c r="E5" s="13"/>
      <c r="F5" s="17">
        <f>E$5+E$6*A5</f>
        <v>0</v>
      </c>
    </row>
    <row r="6" spans="1:8" x14ac:dyDescent="0.55000000000000004">
      <c r="A6" s="8">
        <v>337.4</v>
      </c>
      <c r="B6" s="8">
        <v>338.8</v>
      </c>
      <c r="C6" s="42">
        <f t="shared" ref="C6:C40" si="0">A6^0</f>
        <v>1</v>
      </c>
      <c r="D6" s="43">
        <f t="shared" ref="D6:D40" si="1">A6^1</f>
        <v>337.4</v>
      </c>
      <c r="E6" s="36"/>
      <c r="F6" s="18">
        <f t="shared" ref="F6:F40" si="2">E$5+E$6*A6</f>
        <v>0</v>
      </c>
    </row>
    <row r="7" spans="1:8" x14ac:dyDescent="0.55000000000000004">
      <c r="A7" s="8">
        <v>118.2</v>
      </c>
      <c r="B7" s="8">
        <v>118.1</v>
      </c>
      <c r="C7" s="42">
        <f t="shared" si="0"/>
        <v>1</v>
      </c>
      <c r="D7" s="43">
        <f t="shared" si="1"/>
        <v>118.2</v>
      </c>
      <c r="E7" s="16"/>
      <c r="F7" s="18">
        <f t="shared" si="2"/>
        <v>0</v>
      </c>
    </row>
    <row r="8" spans="1:8" x14ac:dyDescent="0.55000000000000004">
      <c r="A8" s="8">
        <v>884.6</v>
      </c>
      <c r="B8" s="8">
        <v>888</v>
      </c>
      <c r="C8" s="42">
        <f t="shared" si="0"/>
        <v>1</v>
      </c>
      <c r="D8" s="43">
        <f t="shared" si="1"/>
        <v>884.6</v>
      </c>
      <c r="E8" s="39"/>
      <c r="F8" s="18">
        <f t="shared" si="2"/>
        <v>0</v>
      </c>
    </row>
    <row r="9" spans="1:8" x14ac:dyDescent="0.55000000000000004">
      <c r="A9" s="8">
        <v>10.1</v>
      </c>
      <c r="B9" s="8">
        <v>9.1999999999999993</v>
      </c>
      <c r="C9" s="42">
        <f t="shared" si="0"/>
        <v>1</v>
      </c>
      <c r="D9" s="43">
        <f t="shared" si="1"/>
        <v>10.1</v>
      </c>
      <c r="E9" s="37"/>
      <c r="F9" s="18">
        <f t="shared" si="2"/>
        <v>0</v>
      </c>
    </row>
    <row r="10" spans="1:8" x14ac:dyDescent="0.55000000000000004">
      <c r="A10" s="8">
        <v>226.5</v>
      </c>
      <c r="B10" s="8">
        <v>228.1</v>
      </c>
      <c r="C10" s="42">
        <f t="shared" si="0"/>
        <v>1</v>
      </c>
      <c r="D10" s="43">
        <f t="shared" si="1"/>
        <v>226.5</v>
      </c>
      <c r="E10" s="37"/>
      <c r="F10" s="18">
        <f t="shared" si="2"/>
        <v>0</v>
      </c>
    </row>
    <row r="11" spans="1:8" x14ac:dyDescent="0.55000000000000004">
      <c r="A11" s="8">
        <v>666.3</v>
      </c>
      <c r="B11" s="8">
        <v>668.5</v>
      </c>
      <c r="C11" s="42">
        <f t="shared" si="0"/>
        <v>1</v>
      </c>
      <c r="D11" s="43">
        <f t="shared" si="1"/>
        <v>666.3</v>
      </c>
      <c r="E11" s="37"/>
      <c r="F11" s="18">
        <f t="shared" si="2"/>
        <v>0</v>
      </c>
    </row>
    <row r="12" spans="1:8" x14ac:dyDescent="0.55000000000000004">
      <c r="A12" s="8">
        <v>996.3</v>
      </c>
      <c r="B12" s="8">
        <v>998.5</v>
      </c>
      <c r="C12" s="42">
        <f t="shared" si="0"/>
        <v>1</v>
      </c>
      <c r="D12" s="43">
        <f t="shared" si="1"/>
        <v>996.3</v>
      </c>
      <c r="E12" s="37"/>
      <c r="F12" s="18">
        <f t="shared" si="2"/>
        <v>0</v>
      </c>
    </row>
    <row r="13" spans="1:8" x14ac:dyDescent="0.55000000000000004">
      <c r="A13" s="8">
        <v>448.6</v>
      </c>
      <c r="B13" s="8">
        <v>449.1</v>
      </c>
      <c r="C13" s="42">
        <f t="shared" si="0"/>
        <v>1</v>
      </c>
      <c r="D13" s="43">
        <f t="shared" si="1"/>
        <v>448.6</v>
      </c>
      <c r="E13" s="37"/>
      <c r="F13" s="18">
        <f t="shared" si="2"/>
        <v>0</v>
      </c>
    </row>
    <row r="14" spans="1:8" x14ac:dyDescent="0.55000000000000004">
      <c r="A14" s="8">
        <v>777</v>
      </c>
      <c r="B14" s="8">
        <v>778.9</v>
      </c>
      <c r="C14" s="42">
        <f t="shared" si="0"/>
        <v>1</v>
      </c>
      <c r="D14" s="43">
        <f t="shared" si="1"/>
        <v>777</v>
      </c>
      <c r="E14" s="37"/>
      <c r="F14" s="18">
        <f t="shared" si="2"/>
        <v>0</v>
      </c>
    </row>
    <row r="15" spans="1:8" x14ac:dyDescent="0.55000000000000004">
      <c r="A15" s="8">
        <v>558.20000000000005</v>
      </c>
      <c r="B15" s="8">
        <v>559.20000000000005</v>
      </c>
      <c r="C15" s="42">
        <f t="shared" si="0"/>
        <v>1</v>
      </c>
      <c r="D15" s="43">
        <f t="shared" si="1"/>
        <v>558.20000000000005</v>
      </c>
      <c r="E15" s="37"/>
      <c r="F15" s="18">
        <f t="shared" si="2"/>
        <v>0</v>
      </c>
    </row>
    <row r="16" spans="1:8" x14ac:dyDescent="0.55000000000000004">
      <c r="A16" s="8">
        <v>0.4</v>
      </c>
      <c r="B16" s="8">
        <v>0.3</v>
      </c>
      <c r="C16" s="42">
        <f t="shared" si="0"/>
        <v>1</v>
      </c>
      <c r="D16" s="43">
        <f t="shared" si="1"/>
        <v>0.4</v>
      </c>
      <c r="E16" s="37"/>
      <c r="F16" s="18">
        <f t="shared" si="2"/>
        <v>0</v>
      </c>
    </row>
    <row r="17" spans="1:6" x14ac:dyDescent="0.55000000000000004">
      <c r="A17" s="8">
        <v>0.6</v>
      </c>
      <c r="B17" s="8">
        <v>0.1</v>
      </c>
      <c r="C17" s="42">
        <f t="shared" si="0"/>
        <v>1</v>
      </c>
      <c r="D17" s="43">
        <f t="shared" si="1"/>
        <v>0.6</v>
      </c>
      <c r="E17" s="37"/>
      <c r="F17" s="18">
        <f t="shared" si="2"/>
        <v>0</v>
      </c>
    </row>
    <row r="18" spans="1:6" x14ac:dyDescent="0.55000000000000004">
      <c r="A18" s="8">
        <v>775.5</v>
      </c>
      <c r="B18" s="8">
        <v>778.1</v>
      </c>
      <c r="C18" s="42">
        <f t="shared" si="0"/>
        <v>1</v>
      </c>
      <c r="D18" s="43">
        <f t="shared" si="1"/>
        <v>775.5</v>
      </c>
      <c r="E18" s="37"/>
      <c r="F18" s="18">
        <f t="shared" si="2"/>
        <v>0</v>
      </c>
    </row>
    <row r="19" spans="1:6" x14ac:dyDescent="0.55000000000000004">
      <c r="A19" s="8">
        <v>666.9</v>
      </c>
      <c r="B19" s="8">
        <v>668.8</v>
      </c>
      <c r="C19" s="42">
        <f t="shared" si="0"/>
        <v>1</v>
      </c>
      <c r="D19" s="43">
        <f t="shared" si="1"/>
        <v>666.9</v>
      </c>
      <c r="E19" s="37"/>
      <c r="F19" s="18">
        <f t="shared" si="2"/>
        <v>0</v>
      </c>
    </row>
    <row r="20" spans="1:6" x14ac:dyDescent="0.55000000000000004">
      <c r="A20" s="8">
        <v>338</v>
      </c>
      <c r="B20" s="8">
        <v>339.3</v>
      </c>
      <c r="C20" s="42">
        <f t="shared" si="0"/>
        <v>1</v>
      </c>
      <c r="D20" s="43">
        <f t="shared" si="1"/>
        <v>338</v>
      </c>
      <c r="E20" s="37"/>
      <c r="F20" s="18">
        <f t="shared" si="2"/>
        <v>0</v>
      </c>
    </row>
    <row r="21" spans="1:6" x14ac:dyDescent="0.55000000000000004">
      <c r="A21" s="8">
        <v>447.5</v>
      </c>
      <c r="B21" s="8">
        <v>448.9</v>
      </c>
      <c r="C21" s="42">
        <f t="shared" si="0"/>
        <v>1</v>
      </c>
      <c r="D21" s="43">
        <f t="shared" si="1"/>
        <v>447.5</v>
      </c>
      <c r="E21" s="37"/>
      <c r="F21" s="18">
        <f t="shared" si="2"/>
        <v>0</v>
      </c>
    </row>
    <row r="22" spans="1:6" x14ac:dyDescent="0.55000000000000004">
      <c r="A22" s="8">
        <v>11.6</v>
      </c>
      <c r="B22" s="8">
        <v>10.8</v>
      </c>
      <c r="C22" s="42">
        <f t="shared" si="0"/>
        <v>1</v>
      </c>
      <c r="D22" s="43">
        <f t="shared" si="1"/>
        <v>11.6</v>
      </c>
      <c r="E22" s="37"/>
      <c r="F22" s="18">
        <f t="shared" si="2"/>
        <v>0</v>
      </c>
    </row>
    <row r="23" spans="1:6" x14ac:dyDescent="0.55000000000000004">
      <c r="A23" s="8">
        <v>556</v>
      </c>
      <c r="B23" s="8">
        <v>557.70000000000005</v>
      </c>
      <c r="C23" s="42">
        <f t="shared" si="0"/>
        <v>1</v>
      </c>
      <c r="D23" s="43">
        <f t="shared" si="1"/>
        <v>556</v>
      </c>
      <c r="E23" s="37"/>
      <c r="F23" s="18">
        <f t="shared" si="2"/>
        <v>0</v>
      </c>
    </row>
    <row r="24" spans="1:6" x14ac:dyDescent="0.55000000000000004">
      <c r="A24" s="8">
        <v>228.1</v>
      </c>
      <c r="B24" s="8">
        <v>228.3</v>
      </c>
      <c r="C24" s="42">
        <f t="shared" si="0"/>
        <v>1</v>
      </c>
      <c r="D24" s="43">
        <f t="shared" si="1"/>
        <v>228.1</v>
      </c>
      <c r="E24" s="37"/>
      <c r="F24" s="18">
        <f t="shared" si="2"/>
        <v>0</v>
      </c>
    </row>
    <row r="25" spans="1:6" x14ac:dyDescent="0.55000000000000004">
      <c r="A25" s="8">
        <v>995.8</v>
      </c>
      <c r="B25" s="8">
        <v>998</v>
      </c>
      <c r="C25" s="42">
        <f t="shared" si="0"/>
        <v>1</v>
      </c>
      <c r="D25" s="43">
        <f t="shared" si="1"/>
        <v>995.8</v>
      </c>
      <c r="E25" s="37"/>
      <c r="F25" s="18">
        <f t="shared" si="2"/>
        <v>0</v>
      </c>
    </row>
    <row r="26" spans="1:6" x14ac:dyDescent="0.55000000000000004">
      <c r="A26" s="8">
        <v>887.6</v>
      </c>
      <c r="B26" s="8">
        <v>888.8</v>
      </c>
      <c r="C26" s="42">
        <f t="shared" si="0"/>
        <v>1</v>
      </c>
      <c r="D26" s="43">
        <f t="shared" si="1"/>
        <v>887.6</v>
      </c>
      <c r="E26" s="37"/>
      <c r="F26" s="18">
        <f t="shared" si="2"/>
        <v>0</v>
      </c>
    </row>
    <row r="27" spans="1:6" x14ac:dyDescent="0.55000000000000004">
      <c r="A27" s="8">
        <v>120.2</v>
      </c>
      <c r="B27" s="8">
        <v>119.6</v>
      </c>
      <c r="C27" s="42">
        <f t="shared" si="0"/>
        <v>1</v>
      </c>
      <c r="D27" s="43">
        <f t="shared" si="1"/>
        <v>120.2</v>
      </c>
      <c r="E27" s="37"/>
      <c r="F27" s="18">
        <f t="shared" si="2"/>
        <v>0</v>
      </c>
    </row>
    <row r="28" spans="1:6" x14ac:dyDescent="0.55000000000000004">
      <c r="A28" s="8">
        <v>0.3</v>
      </c>
      <c r="B28" s="8">
        <v>0.3</v>
      </c>
      <c r="C28" s="42">
        <f t="shared" si="0"/>
        <v>1</v>
      </c>
      <c r="D28" s="43">
        <f t="shared" si="1"/>
        <v>0.3</v>
      </c>
      <c r="E28" s="37"/>
      <c r="F28" s="18">
        <f t="shared" si="2"/>
        <v>0</v>
      </c>
    </row>
    <row r="29" spans="1:6" x14ac:dyDescent="0.55000000000000004">
      <c r="A29" s="8">
        <v>0.3</v>
      </c>
      <c r="B29" s="8">
        <v>0.6</v>
      </c>
      <c r="C29" s="42">
        <f t="shared" si="0"/>
        <v>1</v>
      </c>
      <c r="D29" s="43">
        <f t="shared" si="1"/>
        <v>0.3</v>
      </c>
      <c r="E29" s="37"/>
      <c r="F29" s="18">
        <f t="shared" si="2"/>
        <v>0</v>
      </c>
    </row>
    <row r="30" spans="1:6" x14ac:dyDescent="0.55000000000000004">
      <c r="A30" s="8">
        <v>556.79999999999995</v>
      </c>
      <c r="B30" s="8">
        <v>557.6</v>
      </c>
      <c r="C30" s="42">
        <f t="shared" si="0"/>
        <v>1</v>
      </c>
      <c r="D30" s="43">
        <f t="shared" si="1"/>
        <v>556.79999999999995</v>
      </c>
      <c r="E30" s="37"/>
      <c r="F30" s="18">
        <f t="shared" si="2"/>
        <v>0</v>
      </c>
    </row>
    <row r="31" spans="1:6" x14ac:dyDescent="0.55000000000000004">
      <c r="A31" s="8">
        <v>339.1</v>
      </c>
      <c r="B31" s="8">
        <v>339.3</v>
      </c>
      <c r="C31" s="42">
        <f t="shared" si="0"/>
        <v>1</v>
      </c>
      <c r="D31" s="43">
        <f t="shared" si="1"/>
        <v>339.1</v>
      </c>
      <c r="E31" s="37"/>
      <c r="F31" s="18">
        <f t="shared" si="2"/>
        <v>0</v>
      </c>
    </row>
    <row r="32" spans="1:6" x14ac:dyDescent="0.55000000000000004">
      <c r="A32" s="8">
        <v>887.2</v>
      </c>
      <c r="B32" s="8">
        <v>888</v>
      </c>
      <c r="C32" s="42">
        <f t="shared" si="0"/>
        <v>1</v>
      </c>
      <c r="D32" s="43">
        <f t="shared" si="1"/>
        <v>887.2</v>
      </c>
      <c r="E32" s="37"/>
      <c r="F32" s="18">
        <f t="shared" si="2"/>
        <v>0</v>
      </c>
    </row>
    <row r="33" spans="1:6" x14ac:dyDescent="0.55000000000000004">
      <c r="A33" s="8">
        <v>999</v>
      </c>
      <c r="B33" s="8">
        <v>998.5</v>
      </c>
      <c r="C33" s="42">
        <f t="shared" si="0"/>
        <v>1</v>
      </c>
      <c r="D33" s="43">
        <f t="shared" si="1"/>
        <v>999</v>
      </c>
      <c r="E33" s="37"/>
      <c r="F33" s="18">
        <f t="shared" si="2"/>
        <v>0</v>
      </c>
    </row>
    <row r="34" spans="1:6" x14ac:dyDescent="0.55000000000000004">
      <c r="A34" s="8">
        <v>779</v>
      </c>
      <c r="B34" s="8">
        <v>778.9</v>
      </c>
      <c r="C34" s="42">
        <f t="shared" si="0"/>
        <v>1</v>
      </c>
      <c r="D34" s="43">
        <f t="shared" si="1"/>
        <v>779</v>
      </c>
      <c r="E34" s="37"/>
      <c r="F34" s="18">
        <f t="shared" si="2"/>
        <v>0</v>
      </c>
    </row>
    <row r="35" spans="1:6" x14ac:dyDescent="0.55000000000000004">
      <c r="A35" s="8">
        <v>11.1</v>
      </c>
      <c r="B35" s="8">
        <v>10.199999999999999</v>
      </c>
      <c r="C35" s="42">
        <f t="shared" si="0"/>
        <v>1</v>
      </c>
      <c r="D35" s="43">
        <f t="shared" si="1"/>
        <v>11.1</v>
      </c>
      <c r="E35" s="37"/>
      <c r="F35" s="18">
        <f t="shared" si="2"/>
        <v>0</v>
      </c>
    </row>
    <row r="36" spans="1:6" x14ac:dyDescent="0.55000000000000004">
      <c r="A36" s="8">
        <v>118.3</v>
      </c>
      <c r="B36" s="8">
        <v>117.6</v>
      </c>
      <c r="C36" s="42">
        <f t="shared" si="0"/>
        <v>1</v>
      </c>
      <c r="D36" s="43">
        <f t="shared" si="1"/>
        <v>118.3</v>
      </c>
      <c r="E36" s="37"/>
      <c r="F36" s="18">
        <f t="shared" si="2"/>
        <v>0</v>
      </c>
    </row>
    <row r="37" spans="1:6" x14ac:dyDescent="0.55000000000000004">
      <c r="A37" s="8">
        <v>229.2</v>
      </c>
      <c r="B37" s="8">
        <v>228.9</v>
      </c>
      <c r="C37" s="42">
        <f t="shared" si="0"/>
        <v>1</v>
      </c>
      <c r="D37" s="43">
        <f t="shared" si="1"/>
        <v>229.2</v>
      </c>
      <c r="E37" s="37"/>
      <c r="F37" s="18">
        <f t="shared" si="2"/>
        <v>0</v>
      </c>
    </row>
    <row r="38" spans="1:6" x14ac:dyDescent="0.55000000000000004">
      <c r="A38" s="8">
        <v>669.1</v>
      </c>
      <c r="B38" s="8">
        <v>668.4</v>
      </c>
      <c r="C38" s="42">
        <f t="shared" si="0"/>
        <v>1</v>
      </c>
      <c r="D38" s="43">
        <f t="shared" si="1"/>
        <v>669.1</v>
      </c>
      <c r="E38" s="37"/>
      <c r="F38" s="18">
        <f t="shared" si="2"/>
        <v>0</v>
      </c>
    </row>
    <row r="39" spans="1:6" x14ac:dyDescent="0.55000000000000004">
      <c r="A39" s="8">
        <v>448.9</v>
      </c>
      <c r="B39" s="8">
        <v>449.2</v>
      </c>
      <c r="C39" s="42">
        <f t="shared" si="0"/>
        <v>1</v>
      </c>
      <c r="D39" s="43">
        <f t="shared" si="1"/>
        <v>448.9</v>
      </c>
      <c r="E39" s="37"/>
      <c r="F39" s="18">
        <f t="shared" si="2"/>
        <v>0</v>
      </c>
    </row>
    <row r="40" spans="1:6" x14ac:dyDescent="0.55000000000000004">
      <c r="A40" s="12">
        <v>0.5</v>
      </c>
      <c r="B40" s="12">
        <v>0.2</v>
      </c>
      <c r="C40" s="44">
        <f t="shared" si="0"/>
        <v>1</v>
      </c>
      <c r="D40" s="45">
        <f t="shared" si="1"/>
        <v>0.5</v>
      </c>
      <c r="E40" s="37"/>
      <c r="F40" s="19">
        <f t="shared" si="2"/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x4.Start">
                <anchor moveWithCells="1" sizeWithCells="1">
                  <from>
                    <xdr:col>3</xdr:col>
                    <xdr:colOff>0</xdr:colOff>
                    <xdr:row>1</xdr:row>
                    <xdr:rowOff>12700</xdr:rowOff>
                  </from>
                  <to>
                    <xdr:col>3</xdr:col>
                    <xdr:colOff>679450</xdr:colOff>
                    <xdr:row>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x4.Clear">
                <anchor moveWithCells="1" sizeWithCells="1">
                  <from>
                    <xdr:col>4</xdr:col>
                    <xdr:colOff>679450</xdr:colOff>
                    <xdr:row>1</xdr:row>
                    <xdr:rowOff>19050</xdr:rowOff>
                  </from>
                  <to>
                    <xdr:col>6</xdr:col>
                    <xdr:colOff>0</xdr:colOff>
                    <xdr:row>2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68B03-CEED-4F5E-B8FE-F4D662DB0234}">
  <sheetPr codeName="Sheet6"/>
  <dimension ref="A1:H39"/>
  <sheetViews>
    <sheetView workbookViewId="0">
      <selection activeCell="E4" sqref="E4:E7"/>
    </sheetView>
  </sheetViews>
  <sheetFormatPr defaultRowHeight="18" x14ac:dyDescent="0.55000000000000004"/>
  <sheetData>
    <row r="1" spans="1:8" x14ac:dyDescent="0.55000000000000004">
      <c r="A1" t="s">
        <v>11</v>
      </c>
    </row>
    <row r="2" spans="1:8" x14ac:dyDescent="0.55000000000000004">
      <c r="H2" t="s">
        <v>12</v>
      </c>
    </row>
    <row r="3" spans="1:8" x14ac:dyDescent="0.55000000000000004">
      <c r="A3" s="62" t="s">
        <v>13</v>
      </c>
      <c r="B3" s="62" t="s">
        <v>14</v>
      </c>
      <c r="C3" s="59" t="s">
        <v>15</v>
      </c>
      <c r="D3" s="60"/>
      <c r="E3" s="62" t="s">
        <v>16</v>
      </c>
      <c r="F3" s="62" t="s">
        <v>17</v>
      </c>
    </row>
    <row r="4" spans="1:8" x14ac:dyDescent="0.55000000000000004">
      <c r="A4" s="4">
        <v>0.2</v>
      </c>
      <c r="B4" s="4">
        <v>0.1</v>
      </c>
      <c r="C4" s="40">
        <v>1</v>
      </c>
      <c r="D4" s="41">
        <f>A4^1</f>
        <v>0.2</v>
      </c>
      <c r="E4" s="13">
        <f t="array" ref="E4:E7">_xll.WDgels(36,2,C4:D39,B4:B39)</f>
        <v>-0.26232307377395819</v>
      </c>
      <c r="F4" s="17">
        <f>E$4+E$5*A4</f>
        <v>-6.1899710169867367E-2</v>
      </c>
    </row>
    <row r="5" spans="1:8" x14ac:dyDescent="0.55000000000000004">
      <c r="A5" s="8">
        <v>337.4</v>
      </c>
      <c r="B5" s="8">
        <v>338.8</v>
      </c>
      <c r="C5" s="42">
        <f t="shared" ref="C5:C39" si="0">A5^0</f>
        <v>1</v>
      </c>
      <c r="D5" s="43">
        <f t="shared" ref="D5:D39" si="1">A5^1</f>
        <v>337.4</v>
      </c>
      <c r="E5" s="14">
        <v>1.002116818020454</v>
      </c>
      <c r="F5" s="18">
        <f t="shared" ref="F5:F39" si="2">E$4+E$5*A5</f>
        <v>337.85189132632718</v>
      </c>
    </row>
    <row r="6" spans="1:8" x14ac:dyDescent="0.55000000000000004">
      <c r="A6" s="8">
        <v>118.2</v>
      </c>
      <c r="B6" s="8">
        <v>118.1</v>
      </c>
      <c r="C6" s="42">
        <f t="shared" si="0"/>
        <v>1</v>
      </c>
      <c r="D6" s="43">
        <f t="shared" si="1"/>
        <v>118.2</v>
      </c>
      <c r="E6" s="36">
        <v>26.617398529424253</v>
      </c>
      <c r="F6" s="18">
        <f t="shared" si="2"/>
        <v>118.18788481624371</v>
      </c>
    </row>
    <row r="7" spans="1:8" x14ac:dyDescent="0.55000000000000004">
      <c r="A7" s="8">
        <v>884.6</v>
      </c>
      <c r="B7" s="8">
        <v>888</v>
      </c>
      <c r="C7" s="42">
        <f t="shared" si="0"/>
        <v>1</v>
      </c>
      <c r="D7" s="43">
        <f t="shared" si="1"/>
        <v>884.6</v>
      </c>
      <c r="E7" s="16">
        <v>0</v>
      </c>
      <c r="F7" s="18">
        <f t="shared" si="2"/>
        <v>886.2102141471197</v>
      </c>
    </row>
    <row r="8" spans="1:8" x14ac:dyDescent="0.55000000000000004">
      <c r="A8" s="8">
        <v>10.1</v>
      </c>
      <c r="B8" s="8">
        <v>9.1999999999999993</v>
      </c>
      <c r="C8" s="42">
        <f t="shared" si="0"/>
        <v>1</v>
      </c>
      <c r="D8" s="43">
        <f t="shared" si="1"/>
        <v>10.1</v>
      </c>
      <c r="E8" s="37"/>
      <c r="F8" s="18">
        <f t="shared" si="2"/>
        <v>9.8590567882326283</v>
      </c>
    </row>
    <row r="9" spans="1:8" x14ac:dyDescent="0.55000000000000004">
      <c r="A9" s="8">
        <v>226.5</v>
      </c>
      <c r="B9" s="8">
        <v>228.1</v>
      </c>
      <c r="C9" s="42">
        <f t="shared" si="0"/>
        <v>1</v>
      </c>
      <c r="D9" s="43">
        <f t="shared" si="1"/>
        <v>226.5</v>
      </c>
      <c r="E9" s="37"/>
      <c r="F9" s="18">
        <f t="shared" si="2"/>
        <v>226.71713620785889</v>
      </c>
    </row>
    <row r="10" spans="1:8" x14ac:dyDescent="0.55000000000000004">
      <c r="A10" s="8">
        <v>666.3</v>
      </c>
      <c r="B10" s="8">
        <v>668.5</v>
      </c>
      <c r="C10" s="42">
        <f t="shared" si="0"/>
        <v>1</v>
      </c>
      <c r="D10" s="43">
        <f t="shared" si="1"/>
        <v>666.3</v>
      </c>
      <c r="E10" s="37"/>
      <c r="F10" s="18">
        <f t="shared" si="2"/>
        <v>667.44811277325459</v>
      </c>
    </row>
    <row r="11" spans="1:8" x14ac:dyDescent="0.55000000000000004">
      <c r="A11" s="8">
        <v>996.3</v>
      </c>
      <c r="B11" s="8">
        <v>998.5</v>
      </c>
      <c r="C11" s="42">
        <f t="shared" si="0"/>
        <v>1</v>
      </c>
      <c r="D11" s="43">
        <f t="shared" si="1"/>
        <v>996.3</v>
      </c>
      <c r="E11" s="37"/>
      <c r="F11" s="18">
        <f t="shared" si="2"/>
        <v>998.14666272000443</v>
      </c>
    </row>
    <row r="12" spans="1:8" x14ac:dyDescent="0.55000000000000004">
      <c r="A12" s="8">
        <v>448.6</v>
      </c>
      <c r="B12" s="8">
        <v>449.1</v>
      </c>
      <c r="C12" s="42">
        <f t="shared" si="0"/>
        <v>1</v>
      </c>
      <c r="D12" s="43">
        <f t="shared" si="1"/>
        <v>448.6</v>
      </c>
      <c r="E12" s="37"/>
      <c r="F12" s="18">
        <f t="shared" si="2"/>
        <v>449.28728149020174</v>
      </c>
    </row>
    <row r="13" spans="1:8" x14ac:dyDescent="0.55000000000000004">
      <c r="A13" s="8">
        <v>777</v>
      </c>
      <c r="B13" s="8">
        <v>778.9</v>
      </c>
      <c r="C13" s="42">
        <f t="shared" si="0"/>
        <v>1</v>
      </c>
      <c r="D13" s="43">
        <f t="shared" si="1"/>
        <v>777</v>
      </c>
      <c r="E13" s="37"/>
      <c r="F13" s="18">
        <f t="shared" si="2"/>
        <v>778.38244452811887</v>
      </c>
    </row>
    <row r="14" spans="1:8" x14ac:dyDescent="0.55000000000000004">
      <c r="A14" s="8">
        <v>558.20000000000005</v>
      </c>
      <c r="B14" s="8">
        <v>559.20000000000005</v>
      </c>
      <c r="C14" s="42">
        <f t="shared" si="0"/>
        <v>1</v>
      </c>
      <c r="D14" s="43">
        <f t="shared" si="1"/>
        <v>558.20000000000005</v>
      </c>
      <c r="E14" s="37"/>
      <c r="F14" s="18">
        <f t="shared" si="2"/>
        <v>559.11928474524359</v>
      </c>
    </row>
    <row r="15" spans="1:8" x14ac:dyDescent="0.55000000000000004">
      <c r="A15" s="8">
        <v>0.4</v>
      </c>
      <c r="B15" s="8">
        <v>0.3</v>
      </c>
      <c r="C15" s="42">
        <f t="shared" si="0"/>
        <v>1</v>
      </c>
      <c r="D15" s="43">
        <f t="shared" si="1"/>
        <v>0.4</v>
      </c>
      <c r="E15" s="37"/>
      <c r="F15" s="18">
        <f t="shared" si="2"/>
        <v>0.13852365343422346</v>
      </c>
    </row>
    <row r="16" spans="1:8" x14ac:dyDescent="0.55000000000000004">
      <c r="A16" s="8">
        <v>0.6</v>
      </c>
      <c r="B16" s="8">
        <v>0.1</v>
      </c>
      <c r="C16" s="42">
        <f t="shared" si="0"/>
        <v>1</v>
      </c>
      <c r="D16" s="43">
        <f t="shared" si="1"/>
        <v>0.6</v>
      </c>
      <c r="E16" s="37"/>
      <c r="F16" s="18">
        <f t="shared" si="2"/>
        <v>0.33894701703831426</v>
      </c>
    </row>
    <row r="17" spans="1:6" x14ac:dyDescent="0.55000000000000004">
      <c r="A17" s="8">
        <v>775.5</v>
      </c>
      <c r="B17" s="8">
        <v>778.1</v>
      </c>
      <c r="C17" s="42">
        <f t="shared" si="0"/>
        <v>1</v>
      </c>
      <c r="D17" s="43">
        <f t="shared" si="1"/>
        <v>775.5</v>
      </c>
      <c r="E17" s="37"/>
      <c r="F17" s="18">
        <f t="shared" si="2"/>
        <v>776.87926930108813</v>
      </c>
    </row>
    <row r="18" spans="1:6" x14ac:dyDescent="0.55000000000000004">
      <c r="A18" s="8">
        <v>666.9</v>
      </c>
      <c r="B18" s="8">
        <v>668.8</v>
      </c>
      <c r="C18" s="42">
        <f t="shared" si="0"/>
        <v>1</v>
      </c>
      <c r="D18" s="43">
        <f t="shared" si="1"/>
        <v>666.9</v>
      </c>
      <c r="E18" s="37"/>
      <c r="F18" s="18">
        <f t="shared" si="2"/>
        <v>668.04938286406684</v>
      </c>
    </row>
    <row r="19" spans="1:6" x14ac:dyDescent="0.55000000000000004">
      <c r="A19" s="8">
        <v>338</v>
      </c>
      <c r="B19" s="8">
        <v>339.3</v>
      </c>
      <c r="C19" s="42">
        <f t="shared" si="0"/>
        <v>1</v>
      </c>
      <c r="D19" s="43">
        <f t="shared" si="1"/>
        <v>338</v>
      </c>
      <c r="E19" s="37"/>
      <c r="F19" s="18">
        <f t="shared" si="2"/>
        <v>338.45316141713948</v>
      </c>
    </row>
    <row r="20" spans="1:6" x14ac:dyDescent="0.55000000000000004">
      <c r="A20" s="8">
        <v>447.5</v>
      </c>
      <c r="B20" s="8">
        <v>448.9</v>
      </c>
      <c r="C20" s="42">
        <f t="shared" si="0"/>
        <v>1</v>
      </c>
      <c r="D20" s="43">
        <f t="shared" si="1"/>
        <v>447.5</v>
      </c>
      <c r="E20" s="37"/>
      <c r="F20" s="18">
        <f t="shared" si="2"/>
        <v>448.1849529903792</v>
      </c>
    </row>
    <row r="21" spans="1:6" x14ac:dyDescent="0.55000000000000004">
      <c r="A21" s="8">
        <v>11.6</v>
      </c>
      <c r="B21" s="8">
        <v>10.8</v>
      </c>
      <c r="C21" s="42">
        <f t="shared" si="0"/>
        <v>1</v>
      </c>
      <c r="D21" s="43">
        <f t="shared" si="1"/>
        <v>11.6</v>
      </c>
      <c r="E21" s="37"/>
      <c r="F21" s="18">
        <f t="shared" si="2"/>
        <v>11.362232015263309</v>
      </c>
    </row>
    <row r="22" spans="1:6" x14ac:dyDescent="0.55000000000000004">
      <c r="A22" s="8">
        <v>556</v>
      </c>
      <c r="B22" s="8">
        <v>557.70000000000005</v>
      </c>
      <c r="C22" s="42">
        <f t="shared" si="0"/>
        <v>1</v>
      </c>
      <c r="D22" s="43">
        <f t="shared" si="1"/>
        <v>556</v>
      </c>
      <c r="E22" s="37"/>
      <c r="F22" s="18">
        <f t="shared" si="2"/>
        <v>556.91462774559852</v>
      </c>
    </row>
    <row r="23" spans="1:6" x14ac:dyDescent="0.55000000000000004">
      <c r="A23" s="8">
        <v>228.1</v>
      </c>
      <c r="B23" s="8">
        <v>228.3</v>
      </c>
      <c r="C23" s="42">
        <f t="shared" si="0"/>
        <v>1</v>
      </c>
      <c r="D23" s="43">
        <f t="shared" si="1"/>
        <v>228.1</v>
      </c>
      <c r="E23" s="37"/>
      <c r="F23" s="18">
        <f t="shared" si="2"/>
        <v>228.32052311669162</v>
      </c>
    </row>
    <row r="24" spans="1:6" x14ac:dyDescent="0.55000000000000004">
      <c r="A24" s="8">
        <v>995.8</v>
      </c>
      <c r="B24" s="8">
        <v>998</v>
      </c>
      <c r="C24" s="42">
        <f t="shared" si="0"/>
        <v>1</v>
      </c>
      <c r="D24" s="43">
        <f t="shared" si="1"/>
        <v>995.8</v>
      </c>
      <c r="E24" s="37"/>
      <c r="F24" s="18">
        <f t="shared" si="2"/>
        <v>997.64560431099414</v>
      </c>
    </row>
    <row r="25" spans="1:6" x14ac:dyDescent="0.55000000000000004">
      <c r="A25" s="8">
        <v>887.6</v>
      </c>
      <c r="B25" s="8">
        <v>888.8</v>
      </c>
      <c r="C25" s="42">
        <f t="shared" si="0"/>
        <v>1</v>
      </c>
      <c r="D25" s="43">
        <f t="shared" si="1"/>
        <v>887.6</v>
      </c>
      <c r="E25" s="37"/>
      <c r="F25" s="18">
        <f t="shared" si="2"/>
        <v>889.21656460118106</v>
      </c>
    </row>
    <row r="26" spans="1:6" x14ac:dyDescent="0.55000000000000004">
      <c r="A26" s="8">
        <v>120.2</v>
      </c>
      <c r="B26" s="8">
        <v>119.6</v>
      </c>
      <c r="C26" s="42">
        <f t="shared" si="0"/>
        <v>1</v>
      </c>
      <c r="D26" s="43">
        <f t="shared" si="1"/>
        <v>120.2</v>
      </c>
      <c r="E26" s="37"/>
      <c r="F26" s="18">
        <f t="shared" si="2"/>
        <v>120.19211845228462</v>
      </c>
    </row>
    <row r="27" spans="1:6" x14ac:dyDescent="0.55000000000000004">
      <c r="A27" s="8">
        <v>0.3</v>
      </c>
      <c r="B27" s="8">
        <v>0.3</v>
      </c>
      <c r="C27" s="42">
        <f t="shared" si="0"/>
        <v>1</v>
      </c>
      <c r="D27" s="43">
        <f t="shared" si="1"/>
        <v>0.3</v>
      </c>
      <c r="E27" s="37"/>
      <c r="F27" s="18">
        <f t="shared" si="2"/>
        <v>3.8311971632178032E-2</v>
      </c>
    </row>
    <row r="28" spans="1:6" x14ac:dyDescent="0.55000000000000004">
      <c r="A28" s="8">
        <v>0.3</v>
      </c>
      <c r="B28" s="8">
        <v>0.6</v>
      </c>
      <c r="C28" s="42">
        <f t="shared" si="0"/>
        <v>1</v>
      </c>
      <c r="D28" s="43">
        <f t="shared" si="1"/>
        <v>0.3</v>
      </c>
      <c r="E28" s="37"/>
      <c r="F28" s="18">
        <f t="shared" si="2"/>
        <v>3.8311971632178032E-2</v>
      </c>
    </row>
    <row r="29" spans="1:6" x14ac:dyDescent="0.55000000000000004">
      <c r="A29" s="8">
        <v>556.79999999999995</v>
      </c>
      <c r="B29" s="8">
        <v>557.6</v>
      </c>
      <c r="C29" s="42">
        <f t="shared" si="0"/>
        <v>1</v>
      </c>
      <c r="D29" s="43">
        <f t="shared" si="1"/>
        <v>556.79999999999995</v>
      </c>
      <c r="E29" s="37"/>
      <c r="F29" s="18">
        <f t="shared" si="2"/>
        <v>557.71632120001482</v>
      </c>
    </row>
    <row r="30" spans="1:6" x14ac:dyDescent="0.55000000000000004">
      <c r="A30" s="8">
        <v>339.1</v>
      </c>
      <c r="B30" s="8">
        <v>339.3</v>
      </c>
      <c r="C30" s="42">
        <f t="shared" si="0"/>
        <v>1</v>
      </c>
      <c r="D30" s="43">
        <f t="shared" si="1"/>
        <v>339.1</v>
      </c>
      <c r="E30" s="37"/>
      <c r="F30" s="18">
        <f t="shared" si="2"/>
        <v>339.55548991696202</v>
      </c>
    </row>
    <row r="31" spans="1:6" x14ac:dyDescent="0.55000000000000004">
      <c r="A31" s="8">
        <v>887.2</v>
      </c>
      <c r="B31" s="8">
        <v>888</v>
      </c>
      <c r="C31" s="42">
        <f t="shared" si="0"/>
        <v>1</v>
      </c>
      <c r="D31" s="43">
        <f t="shared" si="1"/>
        <v>887.2</v>
      </c>
      <c r="E31" s="37"/>
      <c r="F31" s="18">
        <f t="shared" si="2"/>
        <v>888.81571787397297</v>
      </c>
    </row>
    <row r="32" spans="1:6" x14ac:dyDescent="0.55000000000000004">
      <c r="A32" s="8">
        <v>999</v>
      </c>
      <c r="B32" s="8">
        <v>998.5</v>
      </c>
      <c r="C32" s="42">
        <f t="shared" si="0"/>
        <v>1</v>
      </c>
      <c r="D32" s="43">
        <f t="shared" si="1"/>
        <v>999</v>
      </c>
      <c r="E32" s="37"/>
      <c r="F32" s="18">
        <f t="shared" si="2"/>
        <v>1000.8523781286597</v>
      </c>
    </row>
    <row r="33" spans="1:6" x14ac:dyDescent="0.55000000000000004">
      <c r="A33" s="8">
        <v>779</v>
      </c>
      <c r="B33" s="8">
        <v>778.9</v>
      </c>
      <c r="C33" s="42">
        <f t="shared" si="0"/>
        <v>1</v>
      </c>
      <c r="D33" s="43">
        <f t="shared" si="1"/>
        <v>779</v>
      </c>
      <c r="E33" s="37"/>
      <c r="F33" s="18">
        <f t="shared" si="2"/>
        <v>780.38667816415978</v>
      </c>
    </row>
    <row r="34" spans="1:6" x14ac:dyDescent="0.55000000000000004">
      <c r="A34" s="8">
        <v>11.1</v>
      </c>
      <c r="B34" s="8">
        <v>10.199999999999999</v>
      </c>
      <c r="C34" s="42">
        <f t="shared" si="0"/>
        <v>1</v>
      </c>
      <c r="D34" s="43">
        <f t="shared" si="1"/>
        <v>11.1</v>
      </c>
      <c r="E34" s="37"/>
      <c r="F34" s="18">
        <f t="shared" si="2"/>
        <v>10.861173606253082</v>
      </c>
    </row>
    <row r="35" spans="1:6" x14ac:dyDescent="0.55000000000000004">
      <c r="A35" s="8">
        <v>118.3</v>
      </c>
      <c r="B35" s="8">
        <v>117.6</v>
      </c>
      <c r="C35" s="42">
        <f t="shared" si="0"/>
        <v>1</v>
      </c>
      <c r="D35" s="43">
        <f t="shared" si="1"/>
        <v>118.3</v>
      </c>
      <c r="E35" s="37"/>
      <c r="F35" s="18">
        <f t="shared" si="2"/>
        <v>118.28809649804576</v>
      </c>
    </row>
    <row r="36" spans="1:6" x14ac:dyDescent="0.55000000000000004">
      <c r="A36" s="8">
        <v>229.2</v>
      </c>
      <c r="B36" s="8">
        <v>228.9</v>
      </c>
      <c r="C36" s="42">
        <f t="shared" si="0"/>
        <v>1</v>
      </c>
      <c r="D36" s="43">
        <f t="shared" si="1"/>
        <v>229.2</v>
      </c>
      <c r="E36" s="37"/>
      <c r="F36" s="18">
        <f t="shared" si="2"/>
        <v>229.42285161651409</v>
      </c>
    </row>
    <row r="37" spans="1:6" x14ac:dyDescent="0.55000000000000004">
      <c r="A37" s="8">
        <v>669.1</v>
      </c>
      <c r="B37" s="8">
        <v>668.4</v>
      </c>
      <c r="C37" s="42">
        <f t="shared" si="0"/>
        <v>1</v>
      </c>
      <c r="D37" s="43">
        <f t="shared" si="1"/>
        <v>669.1</v>
      </c>
      <c r="E37" s="37"/>
      <c r="F37" s="18">
        <f t="shared" si="2"/>
        <v>670.25403986371191</v>
      </c>
    </row>
    <row r="38" spans="1:6" x14ac:dyDescent="0.55000000000000004">
      <c r="A38" s="8">
        <v>448.9</v>
      </c>
      <c r="B38" s="8">
        <v>449.2</v>
      </c>
      <c r="C38" s="42">
        <f t="shared" si="0"/>
        <v>1</v>
      </c>
      <c r="D38" s="43">
        <f t="shared" si="1"/>
        <v>448.9</v>
      </c>
      <c r="E38" s="37"/>
      <c r="F38" s="18">
        <f t="shared" si="2"/>
        <v>449.5879165356078</v>
      </c>
    </row>
    <row r="39" spans="1:6" x14ac:dyDescent="0.55000000000000004">
      <c r="A39" s="12">
        <v>0.5</v>
      </c>
      <c r="B39" s="12">
        <v>0.2</v>
      </c>
      <c r="C39" s="44">
        <f t="shared" si="0"/>
        <v>1</v>
      </c>
      <c r="D39" s="45">
        <f t="shared" si="1"/>
        <v>0.5</v>
      </c>
      <c r="E39" s="37"/>
      <c r="F39" s="19">
        <f t="shared" si="2"/>
        <v>0.23873533523626883</v>
      </c>
    </row>
  </sheetData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FB894-2BBF-4AD9-9568-308BD2045E0E}">
  <sheetPr codeName="Sheet7"/>
  <dimension ref="A1:E12"/>
  <sheetViews>
    <sheetView workbookViewId="0"/>
  </sheetViews>
  <sheetFormatPr defaultRowHeight="18" x14ac:dyDescent="0.55000000000000004"/>
  <cols>
    <col min="2" max="2" width="12.58203125" customWidth="1"/>
    <col min="3" max="3" width="4.58203125" customWidth="1"/>
    <col min="5" max="5" width="12.58203125" customWidth="1"/>
  </cols>
  <sheetData>
    <row r="1" spans="1:5" x14ac:dyDescent="0.55000000000000004">
      <c r="A1" t="s">
        <v>18</v>
      </c>
    </row>
    <row r="4" spans="1:5" x14ac:dyDescent="0.55000000000000004">
      <c r="A4" s="62" t="s">
        <v>19</v>
      </c>
      <c r="B4" s="62" t="s">
        <v>20</v>
      </c>
      <c r="D4" s="62" t="s">
        <v>21</v>
      </c>
      <c r="E4" s="62" t="s">
        <v>22</v>
      </c>
    </row>
    <row r="5" spans="1:5" x14ac:dyDescent="0.55000000000000004">
      <c r="A5" s="4">
        <v>1.5</v>
      </c>
      <c r="B5" s="4">
        <f>LN(A5)</f>
        <v>0.40546510810816438</v>
      </c>
      <c r="D5" s="4">
        <v>1.55</v>
      </c>
      <c r="E5" s="13"/>
    </row>
    <row r="6" spans="1:5" x14ac:dyDescent="0.55000000000000004">
      <c r="A6" s="8">
        <v>1.6</v>
      </c>
      <c r="B6" s="8">
        <f t="shared" ref="B6:B12" si="0">LN(A6)</f>
        <v>0.47000362924573563</v>
      </c>
      <c r="D6" s="8">
        <v>1.65</v>
      </c>
      <c r="E6" s="14"/>
    </row>
    <row r="7" spans="1:5" x14ac:dyDescent="0.55000000000000004">
      <c r="A7" s="8">
        <v>1.7</v>
      </c>
      <c r="B7" s="8">
        <f t="shared" si="0"/>
        <v>0.53062825106217038</v>
      </c>
      <c r="D7" s="8">
        <v>1.75</v>
      </c>
      <c r="E7" s="14"/>
    </row>
    <row r="8" spans="1:5" x14ac:dyDescent="0.55000000000000004">
      <c r="A8" s="8">
        <v>1.8</v>
      </c>
      <c r="B8" s="8">
        <f t="shared" si="0"/>
        <v>0.58778666490211906</v>
      </c>
      <c r="D8" s="8">
        <v>1.85</v>
      </c>
      <c r="E8" s="14"/>
    </row>
    <row r="9" spans="1:5" x14ac:dyDescent="0.55000000000000004">
      <c r="A9" s="8">
        <v>1.9</v>
      </c>
      <c r="B9" s="8">
        <f t="shared" si="0"/>
        <v>0.64185388617239469</v>
      </c>
      <c r="D9" s="8">
        <v>1.95</v>
      </c>
      <c r="E9" s="14"/>
    </row>
    <row r="10" spans="1:5" x14ac:dyDescent="0.55000000000000004">
      <c r="A10" s="8">
        <v>2</v>
      </c>
      <c r="B10" s="8">
        <f t="shared" si="0"/>
        <v>0.69314718055994529</v>
      </c>
      <c r="D10" s="8">
        <v>2.0499999999999998</v>
      </c>
      <c r="E10" s="14"/>
    </row>
    <row r="11" spans="1:5" x14ac:dyDescent="0.55000000000000004">
      <c r="A11" s="8">
        <v>2.1</v>
      </c>
      <c r="B11" s="8">
        <f t="shared" si="0"/>
        <v>0.74193734472937733</v>
      </c>
      <c r="D11" s="12">
        <v>2.15</v>
      </c>
      <c r="E11" s="15"/>
    </row>
    <row r="12" spans="1:5" x14ac:dyDescent="0.55000000000000004">
      <c r="A12" s="12">
        <v>2.2000000000000002</v>
      </c>
      <c r="B12" s="12">
        <f t="shared" si="0"/>
        <v>0.78845736036427028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Ex5.Start">
                <anchor moveWithCells="1" sizeWithCells="1">
                  <from>
                    <xdr:col>1</xdr:col>
                    <xdr:colOff>869950</xdr:colOff>
                    <xdr:row>1</xdr:row>
                    <xdr:rowOff>12700</xdr:rowOff>
                  </from>
                  <to>
                    <xdr:col>3</xdr:col>
                    <xdr:colOff>228600</xdr:colOff>
                    <xdr:row>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Ex5.Clear">
                <anchor moveWithCells="1" sizeWithCells="1">
                  <from>
                    <xdr:col>4</xdr:col>
                    <xdr:colOff>228600</xdr:colOff>
                    <xdr:row>1</xdr:row>
                    <xdr:rowOff>12700</xdr:rowOff>
                  </from>
                  <to>
                    <xdr:col>4</xdr:col>
                    <xdr:colOff>952500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75648-B650-4F75-AF0F-A09679318E06}">
  <sheetPr codeName="Sheet8"/>
  <dimension ref="A1:F11"/>
  <sheetViews>
    <sheetView workbookViewId="0">
      <selection activeCell="F4" sqref="F4:F10"/>
    </sheetView>
  </sheetViews>
  <sheetFormatPr defaultRowHeight="18" x14ac:dyDescent="0.55000000000000004"/>
  <cols>
    <col min="2" max="2" width="12.58203125" customWidth="1"/>
    <col min="4" max="4" width="4.58203125" customWidth="1"/>
    <col min="6" max="6" width="12.58203125" customWidth="1"/>
  </cols>
  <sheetData>
    <row r="1" spans="1:6" x14ac:dyDescent="0.55000000000000004">
      <c r="A1" t="s">
        <v>18</v>
      </c>
    </row>
    <row r="3" spans="1:6" x14ac:dyDescent="0.55000000000000004">
      <c r="A3" s="62" t="s">
        <v>19</v>
      </c>
      <c r="B3" s="62" t="s">
        <v>20</v>
      </c>
      <c r="C3" s="62" t="s">
        <v>36</v>
      </c>
      <c r="E3" s="62" t="s">
        <v>21</v>
      </c>
      <c r="F3" s="62" t="s">
        <v>22</v>
      </c>
    </row>
    <row r="4" spans="1:6" x14ac:dyDescent="0.55000000000000004">
      <c r="A4" s="4">
        <v>1.5</v>
      </c>
      <c r="B4" s="4">
        <f>LN(A4)</f>
        <v>0.40546510810816438</v>
      </c>
      <c r="C4" s="13">
        <f t="array" ref="C4:C11">_xll.WPchse(8,A4:A11,B4:B11)</f>
        <v>0.66650046809082153</v>
      </c>
      <c r="E4" s="4">
        <v>1.55</v>
      </c>
      <c r="F4" s="13">
        <f t="array" ref="F4:F10">_xll.WPchfe(7,E4:E10,8,A4:A11,B4:B11,C4:C11)</f>
        <v>0.43825258909414383</v>
      </c>
    </row>
    <row r="5" spans="1:6" x14ac:dyDescent="0.55000000000000004">
      <c r="A5" s="8">
        <v>1.6</v>
      </c>
      <c r="B5" s="8">
        <f t="shared" ref="B5:B11" si="0">LN(A5)</f>
        <v>0.47000362924573563</v>
      </c>
      <c r="C5" s="14">
        <v>0.6250428347153163</v>
      </c>
      <c r="E5" s="8">
        <v>1.65</v>
      </c>
      <c r="F5" s="14">
        <v>0.50077619456704325</v>
      </c>
    </row>
    <row r="6" spans="1:6" x14ac:dyDescent="0.55000000000000004">
      <c r="A6" s="8">
        <v>1.7</v>
      </c>
      <c r="B6" s="8">
        <f t="shared" si="0"/>
        <v>0.53062825106217038</v>
      </c>
      <c r="C6" s="14">
        <v>0.58822248166809399</v>
      </c>
      <c r="E6" s="8">
        <v>1.75</v>
      </c>
      <c r="F6" s="14">
        <v>0.55961576014919823</v>
      </c>
    </row>
    <row r="7" spans="1:6" x14ac:dyDescent="0.55000000000000004">
      <c r="A7" s="8">
        <v>1.8</v>
      </c>
      <c r="B7" s="8">
        <f t="shared" si="0"/>
        <v>0.58778666490211906</v>
      </c>
      <c r="C7" s="14">
        <v>0.55555830830381137</v>
      </c>
      <c r="E7" s="8">
        <v>1.85</v>
      </c>
      <c r="F7" s="14">
        <v>0.61518583766076218</v>
      </c>
    </row>
    <row r="8" spans="1:6" x14ac:dyDescent="0.55000000000000004">
      <c r="A8" s="8">
        <v>1.9</v>
      </c>
      <c r="B8" s="8">
        <f t="shared" si="0"/>
        <v>0.64185388617239469</v>
      </c>
      <c r="C8" s="14">
        <v>0.52631333842339023</v>
      </c>
      <c r="E8" s="8">
        <v>1.95</v>
      </c>
      <c r="F8" s="14">
        <v>0.66782940249974465</v>
      </c>
    </row>
    <row r="9" spans="1:6" x14ac:dyDescent="0.55000000000000004">
      <c r="A9" s="8">
        <v>2</v>
      </c>
      <c r="B9" s="8">
        <f t="shared" si="0"/>
        <v>0.69314718055994529</v>
      </c>
      <c r="C9" s="14">
        <v>0.50000380773741537</v>
      </c>
      <c r="E9" s="8">
        <v>2.0499999999999998</v>
      </c>
      <c r="F9" s="14">
        <v>0.7178401203996736</v>
      </c>
    </row>
    <row r="10" spans="1:6" x14ac:dyDescent="0.55000000000000004">
      <c r="A10" s="8">
        <v>2.1</v>
      </c>
      <c r="B10" s="8">
        <f t="shared" si="0"/>
        <v>0.74193734472937733</v>
      </c>
      <c r="C10" s="14">
        <v>0.4761751873364245</v>
      </c>
      <c r="E10" s="12">
        <v>2.15</v>
      </c>
      <c r="F10" s="15">
        <v>0.76546703192544607</v>
      </c>
    </row>
    <row r="11" spans="1:6" x14ac:dyDescent="0.55000000000000004">
      <c r="A11" s="12">
        <v>2.2000000000000002</v>
      </c>
      <c r="B11" s="12">
        <f t="shared" si="0"/>
        <v>0.78845736036427028</v>
      </c>
      <c r="C11" s="15">
        <v>0.45460083704663345</v>
      </c>
    </row>
  </sheetData>
  <phoneticPr fontId="1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6E992-7AC3-4E39-8741-53FF0A196841}">
  <sheetPr codeName="Sheet9"/>
  <dimension ref="A1:D11"/>
  <sheetViews>
    <sheetView workbookViewId="0"/>
  </sheetViews>
  <sheetFormatPr defaultRowHeight="18" x14ac:dyDescent="0.55000000000000004"/>
  <cols>
    <col min="1" max="4" width="12.58203125" customWidth="1"/>
  </cols>
  <sheetData>
    <row r="1" spans="1:4" x14ac:dyDescent="0.55000000000000004">
      <c r="A1" t="s">
        <v>23</v>
      </c>
    </row>
    <row r="4" spans="1:4" x14ac:dyDescent="0.55000000000000004">
      <c r="A4" s="62" t="s">
        <v>24</v>
      </c>
      <c r="B4" s="62" t="s">
        <v>25</v>
      </c>
      <c r="C4" s="62" t="s">
        <v>26</v>
      </c>
      <c r="D4" s="62" t="s">
        <v>27</v>
      </c>
    </row>
    <row r="5" spans="1:4" x14ac:dyDescent="0.55000000000000004">
      <c r="A5" s="4">
        <v>1</v>
      </c>
      <c r="B5" s="46"/>
      <c r="C5" s="47"/>
      <c r="D5" s="13"/>
    </row>
    <row r="6" spans="1:4" x14ac:dyDescent="0.55000000000000004">
      <c r="A6" s="8">
        <v>0</v>
      </c>
      <c r="B6" s="48"/>
      <c r="C6" s="49"/>
      <c r="D6" s="14"/>
    </row>
    <row r="7" spans="1:4" x14ac:dyDescent="0.55000000000000004">
      <c r="A7" s="8">
        <v>2</v>
      </c>
      <c r="B7" s="48"/>
      <c r="C7" s="49"/>
      <c r="D7" s="14"/>
    </row>
    <row r="8" spans="1:4" x14ac:dyDescent="0.55000000000000004">
      <c r="A8" s="8">
        <v>2</v>
      </c>
      <c r="B8" s="48"/>
      <c r="C8" s="49"/>
      <c r="D8" s="14"/>
    </row>
    <row r="9" spans="1:4" x14ac:dyDescent="0.55000000000000004">
      <c r="A9" s="8">
        <v>-15</v>
      </c>
      <c r="B9" s="50"/>
      <c r="C9" s="51"/>
      <c r="D9" s="15"/>
    </row>
    <row r="10" spans="1:4" x14ac:dyDescent="0.55000000000000004">
      <c r="A10" s="12">
        <v>10</v>
      </c>
      <c r="B10" s="52"/>
      <c r="C10" s="53"/>
      <c r="D10" s="54"/>
    </row>
    <row r="11" spans="1:4" x14ac:dyDescent="0.55000000000000004">
      <c r="B11" t="s">
        <v>28</v>
      </c>
      <c r="C11" t="s">
        <v>29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9" r:id="rId4" name="Button 3">
              <controlPr defaultSize="0" print="0" autoFill="0" autoPict="0" macro="[0]!Ex6.Start">
                <anchor moveWithCells="1" sizeWithCells="1">
                  <from>
                    <xdr:col>2</xdr:col>
                    <xdr:colOff>12700</xdr:colOff>
                    <xdr:row>1</xdr:row>
                    <xdr:rowOff>12700</xdr:rowOff>
                  </from>
                  <to>
                    <xdr:col>2</xdr:col>
                    <xdr:colOff>685800</xdr:colOff>
                    <xdr:row>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5" name="Button 4">
              <controlPr defaultSize="0" print="0" autoFill="0" autoPict="0" macro="[0]!Ex6.Clear">
                <anchor moveWithCells="1" sizeWithCells="1">
                  <from>
                    <xdr:col>3</xdr:col>
                    <xdr:colOff>241300</xdr:colOff>
                    <xdr:row>1</xdr:row>
                    <xdr:rowOff>19050</xdr:rowOff>
                  </from>
                  <to>
                    <xdr:col>4</xdr:col>
                    <xdr:colOff>0</xdr:colOff>
                    <xdr:row>2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62E25-44B2-46D2-B82F-A87DDD591513}">
  <sheetPr codeName="Sheet10"/>
  <dimension ref="A1:D10"/>
  <sheetViews>
    <sheetView workbookViewId="0">
      <selection activeCell="B4" sqref="B4:D9"/>
    </sheetView>
  </sheetViews>
  <sheetFormatPr defaultRowHeight="18" x14ac:dyDescent="0.55000000000000004"/>
  <cols>
    <col min="1" max="4" width="12.58203125" customWidth="1"/>
  </cols>
  <sheetData>
    <row r="1" spans="1:4" x14ac:dyDescent="0.55000000000000004">
      <c r="A1" t="s">
        <v>23</v>
      </c>
    </row>
    <row r="3" spans="1:4" x14ac:dyDescent="0.55000000000000004">
      <c r="A3" s="62" t="s">
        <v>24</v>
      </c>
      <c r="B3" s="62" t="s">
        <v>25</v>
      </c>
      <c r="C3" s="62" t="s">
        <v>26</v>
      </c>
      <c r="D3" s="62" t="s">
        <v>27</v>
      </c>
    </row>
    <row r="4" spans="1:4" x14ac:dyDescent="0.55000000000000004">
      <c r="A4" s="4">
        <v>1</v>
      </c>
      <c r="B4" s="46">
        <f t="array" ref="B4:D9">_xll.WRpzero2(5,A4:A9)</f>
        <v>1.0000000131052735</v>
      </c>
      <c r="C4" s="47">
        <v>2.2244886396236671E-8</v>
      </c>
      <c r="D4" s="13">
        <v>1.1837139706033293E-7</v>
      </c>
    </row>
    <row r="5" spans="1:4" x14ac:dyDescent="0.55000000000000004">
      <c r="A5" s="8">
        <v>0</v>
      </c>
      <c r="B5" s="48">
        <v>-1.8602058331804098E-17</v>
      </c>
      <c r="C5" s="49">
        <v>2.2360679774997898</v>
      </c>
      <c r="D5" s="14">
        <v>8.989761308069151E-15</v>
      </c>
    </row>
    <row r="6" spans="1:4" x14ac:dyDescent="0.55000000000000004">
      <c r="A6" s="8">
        <v>2</v>
      </c>
      <c r="B6" s="48">
        <v>-2</v>
      </c>
      <c r="C6" s="49">
        <v>1.150416311046152E-19</v>
      </c>
      <c r="D6" s="14">
        <v>7.5385514237206395E-15</v>
      </c>
    </row>
    <row r="7" spans="1:4" x14ac:dyDescent="0.55000000000000004">
      <c r="A7" s="8">
        <v>2</v>
      </c>
      <c r="B7" s="48">
        <v>7.3922602836908442E-17</v>
      </c>
      <c r="C7" s="49">
        <v>-2.2360679774997898</v>
      </c>
      <c r="D7" s="14">
        <v>9.0475784977814443E-15</v>
      </c>
    </row>
    <row r="8" spans="1:4" x14ac:dyDescent="0.55000000000000004">
      <c r="A8" s="8">
        <v>-15</v>
      </c>
      <c r="B8" s="50">
        <v>0.99999998639669174</v>
      </c>
      <c r="C8" s="51">
        <v>-2.145422559783067E-8</v>
      </c>
      <c r="D8" s="15">
        <v>1.214120378015854E-7</v>
      </c>
    </row>
    <row r="9" spans="1:4" x14ac:dyDescent="0.55000000000000004">
      <c r="A9" s="12">
        <v>10</v>
      </c>
      <c r="B9" s="52">
        <v>0</v>
      </c>
      <c r="C9" s="53">
        <v>30</v>
      </c>
      <c r="D9" s="20">
        <v>0</v>
      </c>
    </row>
    <row r="10" spans="1:4" x14ac:dyDescent="0.55000000000000004">
      <c r="B10" t="s">
        <v>28</v>
      </c>
      <c r="C10" t="s">
        <v>29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E1AF7A-7E15-45A8-A89E-80E1EC12812E}">
  <sheetPr codeName="Sheet11"/>
  <dimension ref="A1:B13"/>
  <sheetViews>
    <sheetView workbookViewId="0"/>
  </sheetViews>
  <sheetFormatPr defaultRowHeight="18" x14ac:dyDescent="0.55000000000000004"/>
  <sheetData>
    <row r="1" spans="1:2" x14ac:dyDescent="0.55000000000000004">
      <c r="A1" t="s">
        <v>30</v>
      </c>
    </row>
    <row r="4" spans="1:2" x14ac:dyDescent="0.55000000000000004">
      <c r="A4" s="55" t="s">
        <v>9</v>
      </c>
      <c r="B4" s="56" t="s">
        <v>64</v>
      </c>
    </row>
    <row r="5" spans="1:2" x14ac:dyDescent="0.55000000000000004">
      <c r="A5" s="57">
        <v>-4</v>
      </c>
      <c r="B5" s="58">
        <f>A5^3-2*A5-5</f>
        <v>-61</v>
      </c>
    </row>
    <row r="6" spans="1:2" x14ac:dyDescent="0.55000000000000004">
      <c r="A6" s="42">
        <v>-3</v>
      </c>
      <c r="B6" s="43">
        <f t="shared" ref="B6:B13" si="0">A6^3-2*A6-5</f>
        <v>-26</v>
      </c>
    </row>
    <row r="7" spans="1:2" x14ac:dyDescent="0.55000000000000004">
      <c r="A7" s="42">
        <v>-2</v>
      </c>
      <c r="B7" s="43">
        <f t="shared" si="0"/>
        <v>-9</v>
      </c>
    </row>
    <row r="8" spans="1:2" x14ac:dyDescent="0.55000000000000004">
      <c r="A8" s="42">
        <v>-1</v>
      </c>
      <c r="B8" s="43">
        <f t="shared" si="0"/>
        <v>-4</v>
      </c>
    </row>
    <row r="9" spans="1:2" x14ac:dyDescent="0.55000000000000004">
      <c r="A9" s="42">
        <v>0</v>
      </c>
      <c r="B9" s="43">
        <f t="shared" si="0"/>
        <v>-5</v>
      </c>
    </row>
    <row r="10" spans="1:2" x14ac:dyDescent="0.55000000000000004">
      <c r="A10" s="42">
        <v>1</v>
      </c>
      <c r="B10" s="43">
        <f t="shared" si="0"/>
        <v>-6</v>
      </c>
    </row>
    <row r="11" spans="1:2" x14ac:dyDescent="0.55000000000000004">
      <c r="A11" s="42">
        <v>2</v>
      </c>
      <c r="B11" s="43">
        <f t="shared" si="0"/>
        <v>-1</v>
      </c>
    </row>
    <row r="12" spans="1:2" x14ac:dyDescent="0.55000000000000004">
      <c r="A12" s="42">
        <v>3</v>
      </c>
      <c r="B12" s="43">
        <f t="shared" si="0"/>
        <v>16</v>
      </c>
    </row>
    <row r="13" spans="1:2" x14ac:dyDescent="0.55000000000000004">
      <c r="A13" s="44">
        <v>4</v>
      </c>
      <c r="B13" s="45">
        <f t="shared" si="0"/>
        <v>51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Ex7.Start">
                <anchor moveWithCells="1" sizeWithCells="1">
                  <from>
                    <xdr:col>1</xdr:col>
                    <xdr:colOff>12700</xdr:colOff>
                    <xdr:row>1</xdr:row>
                    <xdr:rowOff>12700</xdr:rowOff>
                  </from>
                  <to>
                    <xdr:col>2</xdr:col>
                    <xdr:colOff>0</xdr:colOff>
                    <xdr:row>2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00EC96-718B-47BF-81AE-CF25D06DE0A1}">
  <sheetPr codeName="Sheet15"/>
  <dimension ref="A1:C12"/>
  <sheetViews>
    <sheetView workbookViewId="0"/>
  </sheetViews>
  <sheetFormatPr defaultRowHeight="18" x14ac:dyDescent="0.55000000000000004"/>
  <cols>
    <col min="3" max="3" width="12.58203125" customWidth="1"/>
  </cols>
  <sheetData>
    <row r="1" spans="1:3" x14ac:dyDescent="0.55000000000000004">
      <c r="A1" t="s">
        <v>46</v>
      </c>
    </row>
    <row r="3" spans="1:3" x14ac:dyDescent="0.55000000000000004">
      <c r="A3" s="70" t="s">
        <v>47</v>
      </c>
      <c r="B3" s="70" t="s">
        <v>48</v>
      </c>
      <c r="C3" s="70" t="s">
        <v>49</v>
      </c>
    </row>
    <row r="4" spans="1:3" x14ac:dyDescent="0.55000000000000004">
      <c r="A4" s="71">
        <v>1</v>
      </c>
      <c r="B4" s="71">
        <v>3</v>
      </c>
      <c r="C4" s="16"/>
    </row>
    <row r="6" spans="1:3" x14ac:dyDescent="0.55000000000000004">
      <c r="A6" s="67" t="s">
        <v>38</v>
      </c>
      <c r="B6" s="16"/>
    </row>
    <row r="7" spans="1:3" x14ac:dyDescent="0.55000000000000004">
      <c r="A7" s="72" t="s">
        <v>50</v>
      </c>
      <c r="B7" s="12">
        <f>B6^3-2*B6-5</f>
        <v>-5</v>
      </c>
    </row>
    <row r="9" spans="1:3" x14ac:dyDescent="0.55000000000000004">
      <c r="A9" s="85" t="s">
        <v>51</v>
      </c>
    </row>
    <row r="10" spans="1:3" x14ac:dyDescent="0.55000000000000004">
      <c r="A10" s="86" t="s">
        <v>52</v>
      </c>
    </row>
    <row r="11" spans="1:3" x14ac:dyDescent="0.55000000000000004">
      <c r="A11" s="86" t="s">
        <v>53</v>
      </c>
    </row>
    <row r="12" spans="1:3" x14ac:dyDescent="0.55000000000000004">
      <c r="A12" s="87">
        <v>1E-8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AA9099-EE95-4D71-8AEC-CD4DBD1445BC}">
  <sheetPr codeName="Sheet12"/>
  <dimension ref="A1:E10"/>
  <sheetViews>
    <sheetView workbookViewId="0"/>
  </sheetViews>
  <sheetFormatPr defaultRowHeight="18" x14ac:dyDescent="0.55000000000000004"/>
  <sheetData>
    <row r="1" spans="1:5" x14ac:dyDescent="0.55000000000000004">
      <c r="A1" t="s">
        <v>31</v>
      </c>
    </row>
    <row r="4" spans="1:5" x14ac:dyDescent="0.55000000000000004">
      <c r="A4" s="59" t="s">
        <v>92</v>
      </c>
      <c r="B4" s="60"/>
      <c r="C4" s="59" t="s">
        <v>93</v>
      </c>
      <c r="D4" s="60"/>
      <c r="E4" s="90" t="s">
        <v>6</v>
      </c>
    </row>
    <row r="5" spans="1:5" x14ac:dyDescent="0.55000000000000004">
      <c r="A5" s="55" t="s">
        <v>34</v>
      </c>
      <c r="B5" s="56" t="s">
        <v>35</v>
      </c>
      <c r="C5" s="55" t="s">
        <v>34</v>
      </c>
      <c r="D5" s="56" t="s">
        <v>35</v>
      </c>
      <c r="E5" s="91"/>
    </row>
    <row r="6" spans="1:5" x14ac:dyDescent="0.55000000000000004">
      <c r="A6" s="1">
        <v>1</v>
      </c>
      <c r="B6" s="3">
        <v>1</v>
      </c>
      <c r="C6" s="46"/>
      <c r="D6" s="47"/>
      <c r="E6" s="13"/>
    </row>
    <row r="7" spans="1:5" x14ac:dyDescent="0.55000000000000004">
      <c r="A7" s="5">
        <v>1</v>
      </c>
      <c r="B7" s="7">
        <v>-1</v>
      </c>
      <c r="C7" s="48"/>
      <c r="D7" s="49"/>
      <c r="E7" s="14"/>
    </row>
    <row r="8" spans="1:5" x14ac:dyDescent="0.55000000000000004">
      <c r="A8" s="5">
        <v>-1</v>
      </c>
      <c r="B8" s="7">
        <v>1</v>
      </c>
      <c r="C8" s="48"/>
      <c r="D8" s="49"/>
      <c r="E8" s="14"/>
    </row>
    <row r="9" spans="1:5" x14ac:dyDescent="0.55000000000000004">
      <c r="A9" s="5">
        <v>-1</v>
      </c>
      <c r="B9" s="7">
        <v>-1</v>
      </c>
      <c r="C9" s="48"/>
      <c r="D9" s="49"/>
      <c r="E9" s="14"/>
    </row>
    <row r="10" spans="1:5" x14ac:dyDescent="0.55000000000000004">
      <c r="A10" s="9">
        <v>0</v>
      </c>
      <c r="B10" s="11">
        <v>0</v>
      </c>
      <c r="C10" s="50"/>
      <c r="D10" s="51"/>
      <c r="E10" s="15"/>
    </row>
  </sheetData>
  <mergeCells count="1">
    <mergeCell ref="E4:E5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Ex8.Start">
                <anchor moveWithCells="1" sizeWithCells="1">
                  <from>
                    <xdr:col>2</xdr:col>
                    <xdr:colOff>0</xdr:colOff>
                    <xdr:row>1</xdr:row>
                    <xdr:rowOff>12700</xdr:rowOff>
                  </from>
                  <to>
                    <xdr:col>2</xdr:col>
                    <xdr:colOff>679450</xdr:colOff>
                    <xdr:row>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Ex8.Clear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12700</xdr:colOff>
                    <xdr:row>2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1FB6D-2FB0-4C40-9E0F-5782A132BE8C}">
  <sheetPr codeName="Sheet14"/>
  <dimension ref="A1:D18"/>
  <sheetViews>
    <sheetView workbookViewId="0"/>
  </sheetViews>
  <sheetFormatPr defaultRowHeight="18" x14ac:dyDescent="0.55000000000000004"/>
  <sheetData>
    <row r="1" spans="1:4" x14ac:dyDescent="0.55000000000000004">
      <c r="A1" t="s">
        <v>45</v>
      </c>
    </row>
    <row r="3" spans="1:4" x14ac:dyDescent="0.55000000000000004">
      <c r="A3" s="59" t="s">
        <v>92</v>
      </c>
      <c r="B3" s="60"/>
      <c r="C3" s="59" t="s">
        <v>93</v>
      </c>
      <c r="D3" s="60"/>
    </row>
    <row r="4" spans="1:4" x14ac:dyDescent="0.55000000000000004">
      <c r="A4" s="55" t="s">
        <v>34</v>
      </c>
      <c r="B4" s="56" t="s">
        <v>35</v>
      </c>
      <c r="C4" s="55" t="s">
        <v>34</v>
      </c>
      <c r="D4" s="56" t="s">
        <v>35</v>
      </c>
    </row>
    <row r="5" spans="1:4" x14ac:dyDescent="0.55000000000000004">
      <c r="A5" s="9">
        <v>0</v>
      </c>
      <c r="B5" s="11">
        <v>0</v>
      </c>
      <c r="C5" s="50"/>
      <c r="D5" s="51"/>
    </row>
    <row r="7" spans="1:4" x14ac:dyDescent="0.55000000000000004">
      <c r="A7" s="65" t="s">
        <v>37</v>
      </c>
      <c r="B7" s="39">
        <v>2</v>
      </c>
      <c r="C7" s="66"/>
    </row>
    <row r="8" spans="1:4" x14ac:dyDescent="0.55000000000000004">
      <c r="A8" s="67" t="s">
        <v>38</v>
      </c>
      <c r="B8" s="52"/>
      <c r="C8" s="53"/>
    </row>
    <row r="9" spans="1:4" x14ac:dyDescent="0.55000000000000004">
      <c r="A9" s="67" t="s">
        <v>39</v>
      </c>
      <c r="B9" s="68">
        <f>4*B8^2+C8^2-16</f>
        <v>-16</v>
      </c>
      <c r="C9" s="69">
        <f>B8^2+C8^2-9</f>
        <v>-9</v>
      </c>
    </row>
    <row r="11" spans="1:4" x14ac:dyDescent="0.55000000000000004">
      <c r="A11" s="85">
        <v>2</v>
      </c>
    </row>
    <row r="12" spans="1:4" x14ac:dyDescent="0.55000000000000004">
      <c r="A12" s="86" t="s">
        <v>40</v>
      </c>
    </row>
    <row r="13" spans="1:4" x14ac:dyDescent="0.55000000000000004">
      <c r="A13" s="86" t="s">
        <v>41</v>
      </c>
    </row>
    <row r="14" spans="1:4" x14ac:dyDescent="0.55000000000000004">
      <c r="A14" s="86" t="s">
        <v>42</v>
      </c>
    </row>
    <row r="15" spans="1:4" x14ac:dyDescent="0.55000000000000004">
      <c r="A15" s="86" t="s">
        <v>43</v>
      </c>
    </row>
    <row r="16" spans="1:4" x14ac:dyDescent="0.55000000000000004">
      <c r="A16" s="86" t="s">
        <v>44</v>
      </c>
    </row>
    <row r="17" spans="1:1" x14ac:dyDescent="0.55000000000000004">
      <c r="A17" s="86">
        <v>1E-8</v>
      </c>
    </row>
    <row r="18" spans="1:1" x14ac:dyDescent="0.55000000000000004">
      <c r="A18" s="87">
        <v>1</v>
      </c>
    </row>
  </sheetData>
  <phoneticPr fontId="1"/>
  <dataValidations count="1">
    <dataValidation type="whole" allowBlank="1" showInputMessage="1" showErrorMessage="1" sqref="B7" xr:uid="{C6119B2C-5424-48BE-89CE-803BEAE4D00D}">
      <formula1>1</formula1>
      <formula2>4</formula2>
    </dataValidation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E50A2-1D43-49D5-AF45-A7764122B3A4}">
  <sheetPr codeName="Sheet28"/>
  <dimension ref="A1:E10"/>
  <sheetViews>
    <sheetView workbookViewId="0"/>
  </sheetViews>
  <sheetFormatPr defaultRowHeight="18" x14ac:dyDescent="0.55000000000000004"/>
  <sheetData>
    <row r="1" spans="1:5" x14ac:dyDescent="0.55000000000000004">
      <c r="A1" t="s">
        <v>94</v>
      </c>
    </row>
    <row r="4" spans="1:5" x14ac:dyDescent="0.55000000000000004">
      <c r="A4" s="59" t="s">
        <v>92</v>
      </c>
      <c r="B4" s="60"/>
      <c r="C4" s="59" t="s">
        <v>93</v>
      </c>
      <c r="D4" s="60"/>
      <c r="E4" s="90" t="s">
        <v>6</v>
      </c>
    </row>
    <row r="5" spans="1:5" x14ac:dyDescent="0.55000000000000004">
      <c r="A5" s="55" t="s">
        <v>34</v>
      </c>
      <c r="B5" s="56" t="s">
        <v>35</v>
      </c>
      <c r="C5" s="55" t="s">
        <v>34</v>
      </c>
      <c r="D5" s="56" t="s">
        <v>35</v>
      </c>
      <c r="E5" s="91"/>
    </row>
    <row r="6" spans="1:5" x14ac:dyDescent="0.55000000000000004">
      <c r="A6" s="1">
        <v>1</v>
      </c>
      <c r="B6" s="3">
        <v>1</v>
      </c>
      <c r="C6" s="46"/>
      <c r="D6" s="47"/>
      <c r="E6" s="13"/>
    </row>
    <row r="7" spans="1:5" x14ac:dyDescent="0.55000000000000004">
      <c r="A7" s="5">
        <v>1</v>
      </c>
      <c r="B7" s="7">
        <v>-1</v>
      </c>
      <c r="C7" s="48"/>
      <c r="D7" s="49"/>
      <c r="E7" s="14"/>
    </row>
    <row r="8" spans="1:5" x14ac:dyDescent="0.55000000000000004">
      <c r="A8" s="5">
        <v>-1</v>
      </c>
      <c r="B8" s="7">
        <v>1</v>
      </c>
      <c r="C8" s="48"/>
      <c r="D8" s="49"/>
      <c r="E8" s="14"/>
    </row>
    <row r="9" spans="1:5" x14ac:dyDescent="0.55000000000000004">
      <c r="A9" s="5">
        <v>-1</v>
      </c>
      <c r="B9" s="7">
        <v>-1</v>
      </c>
      <c r="C9" s="48"/>
      <c r="D9" s="49"/>
      <c r="E9" s="14"/>
    </row>
    <row r="10" spans="1:5" x14ac:dyDescent="0.55000000000000004">
      <c r="A10" s="9">
        <v>0</v>
      </c>
      <c r="B10" s="11">
        <v>0</v>
      </c>
      <c r="C10" s="50"/>
      <c r="D10" s="51"/>
      <c r="E10" s="15"/>
    </row>
  </sheetData>
  <mergeCells count="1">
    <mergeCell ref="E4:E5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Ex8.Start_2">
                <anchor moveWithCells="1" sizeWithCells="1">
                  <from>
                    <xdr:col>2</xdr:col>
                    <xdr:colOff>0</xdr:colOff>
                    <xdr:row>1</xdr:row>
                    <xdr:rowOff>12700</xdr:rowOff>
                  </from>
                  <to>
                    <xdr:col>2</xdr:col>
                    <xdr:colOff>679450</xdr:colOff>
                    <xdr:row>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4" name="Button 2">
              <controlPr defaultSize="0" print="0" autoFill="0" autoPict="0" macro="[0]!Ex8.Clear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12700</xdr:colOff>
                    <xdr:row>2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BDDA2-9FB7-48A3-914B-BD36A9DAE164}">
  <sheetPr codeName="Sheet13"/>
  <dimension ref="A1:B13"/>
  <sheetViews>
    <sheetView workbookViewId="0"/>
  </sheetViews>
  <sheetFormatPr defaultRowHeight="18" x14ac:dyDescent="0.55000000000000004"/>
  <sheetData>
    <row r="1" spans="1:2" x14ac:dyDescent="0.55000000000000004">
      <c r="A1" t="s">
        <v>54</v>
      </c>
    </row>
    <row r="4" spans="1:2" x14ac:dyDescent="0.55000000000000004">
      <c r="A4" s="55" t="s">
        <v>9</v>
      </c>
      <c r="B4" s="56" t="s">
        <v>64</v>
      </c>
    </row>
    <row r="5" spans="1:2" x14ac:dyDescent="0.55000000000000004">
      <c r="A5" s="57">
        <v>-2</v>
      </c>
      <c r="B5" s="58">
        <f>A5^3-2*A5-5</f>
        <v>-9</v>
      </c>
    </row>
    <row r="6" spans="1:2" x14ac:dyDescent="0.55000000000000004">
      <c r="A6" s="42">
        <v>-1.5</v>
      </c>
      <c r="B6" s="43">
        <f t="shared" ref="B6:B13" si="0">A6^3-2*A6-5</f>
        <v>-5.375</v>
      </c>
    </row>
    <row r="7" spans="1:2" x14ac:dyDescent="0.55000000000000004">
      <c r="A7" s="42">
        <v>-1</v>
      </c>
      <c r="B7" s="43">
        <f t="shared" si="0"/>
        <v>-4</v>
      </c>
    </row>
    <row r="8" spans="1:2" x14ac:dyDescent="0.55000000000000004">
      <c r="A8" s="42">
        <v>-0.5</v>
      </c>
      <c r="B8" s="43">
        <f t="shared" si="0"/>
        <v>-4.125</v>
      </c>
    </row>
    <row r="9" spans="1:2" x14ac:dyDescent="0.55000000000000004">
      <c r="A9" s="42">
        <v>0</v>
      </c>
      <c r="B9" s="43">
        <f t="shared" si="0"/>
        <v>-5</v>
      </c>
    </row>
    <row r="10" spans="1:2" x14ac:dyDescent="0.55000000000000004">
      <c r="A10" s="42">
        <v>0.5</v>
      </c>
      <c r="B10" s="43">
        <f t="shared" si="0"/>
        <v>-5.875</v>
      </c>
    </row>
    <row r="11" spans="1:2" x14ac:dyDescent="0.55000000000000004">
      <c r="A11" s="42">
        <v>1</v>
      </c>
      <c r="B11" s="43">
        <f t="shared" si="0"/>
        <v>-6</v>
      </c>
    </row>
    <row r="12" spans="1:2" x14ac:dyDescent="0.55000000000000004">
      <c r="A12" s="42">
        <v>1.5</v>
      </c>
      <c r="B12" s="43">
        <f t="shared" si="0"/>
        <v>-4.625</v>
      </c>
    </row>
    <row r="13" spans="1:2" x14ac:dyDescent="0.55000000000000004">
      <c r="A13" s="44">
        <v>2</v>
      </c>
      <c r="B13" s="45">
        <f t="shared" si="0"/>
        <v>-1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Ex9.Start">
                <anchor moveWithCells="1" sizeWithCells="1">
                  <from>
                    <xdr:col>1</xdr:col>
                    <xdr:colOff>12700</xdr:colOff>
                    <xdr:row>1</xdr:row>
                    <xdr:rowOff>12700</xdr:rowOff>
                  </from>
                  <to>
                    <xdr:col>2</xdr:col>
                    <xdr:colOff>0</xdr:colOff>
                    <xdr:row>2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CA71B-936A-4B24-8069-8253629B2370}">
  <sheetPr codeName="Sheet16"/>
  <dimension ref="A1:C12"/>
  <sheetViews>
    <sheetView workbookViewId="0"/>
  </sheetViews>
  <sheetFormatPr defaultRowHeight="18" x14ac:dyDescent="0.55000000000000004"/>
  <cols>
    <col min="3" max="3" width="12.58203125" customWidth="1"/>
  </cols>
  <sheetData>
    <row r="1" spans="1:3" x14ac:dyDescent="0.55000000000000004">
      <c r="A1" t="s">
        <v>55</v>
      </c>
    </row>
    <row r="3" spans="1:3" x14ac:dyDescent="0.55000000000000004">
      <c r="A3" s="70" t="s">
        <v>47</v>
      </c>
      <c r="B3" s="70" t="s">
        <v>48</v>
      </c>
      <c r="C3" s="70" t="s">
        <v>49</v>
      </c>
    </row>
    <row r="4" spans="1:3" x14ac:dyDescent="0.55000000000000004">
      <c r="A4" s="71">
        <v>0</v>
      </c>
      <c r="B4" s="71">
        <v>1.5</v>
      </c>
      <c r="C4" s="16"/>
    </row>
    <row r="6" spans="1:3" x14ac:dyDescent="0.55000000000000004">
      <c r="A6" s="67" t="s">
        <v>38</v>
      </c>
      <c r="B6" s="16"/>
    </row>
    <row r="7" spans="1:3" x14ac:dyDescent="0.55000000000000004">
      <c r="A7" s="72" t="s">
        <v>50</v>
      </c>
      <c r="B7" s="12">
        <f>B6^3-2*B6-5</f>
        <v>-5</v>
      </c>
    </row>
    <row r="9" spans="1:3" x14ac:dyDescent="0.55000000000000004">
      <c r="A9" s="85" t="s">
        <v>51</v>
      </c>
    </row>
    <row r="10" spans="1:3" x14ac:dyDescent="0.55000000000000004">
      <c r="A10" s="86" t="s">
        <v>52</v>
      </c>
    </row>
    <row r="11" spans="1:3" x14ac:dyDescent="0.55000000000000004">
      <c r="A11" s="86" t="s">
        <v>53</v>
      </c>
    </row>
    <row r="12" spans="1:3" x14ac:dyDescent="0.55000000000000004">
      <c r="A12" s="87">
        <v>1.0000000000000001E-15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1B3786-D754-47E8-A3B4-9AC836D80CA5}">
  <sheetPr codeName="Sheet17"/>
  <dimension ref="A1:E10"/>
  <sheetViews>
    <sheetView workbookViewId="0"/>
  </sheetViews>
  <sheetFormatPr defaultRowHeight="18" x14ac:dyDescent="0.55000000000000004"/>
  <sheetData>
    <row r="1" spans="1:5" x14ac:dyDescent="0.55000000000000004">
      <c r="A1" t="s">
        <v>56</v>
      </c>
    </row>
    <row r="4" spans="1:5" x14ac:dyDescent="0.55000000000000004">
      <c r="A4" s="59" t="s">
        <v>32</v>
      </c>
      <c r="B4" s="60"/>
      <c r="C4" s="59" t="s">
        <v>33</v>
      </c>
      <c r="D4" s="60"/>
      <c r="E4" s="90"/>
    </row>
    <row r="5" spans="1:5" x14ac:dyDescent="0.55000000000000004">
      <c r="A5" s="55" t="s">
        <v>34</v>
      </c>
      <c r="B5" s="56" t="s">
        <v>35</v>
      </c>
      <c r="C5" s="55" t="s">
        <v>34</v>
      </c>
      <c r="D5" s="56" t="s">
        <v>35</v>
      </c>
      <c r="E5" s="91" t="s">
        <v>6</v>
      </c>
    </row>
    <row r="6" spans="1:5" x14ac:dyDescent="0.55000000000000004">
      <c r="A6" s="1">
        <v>-1.2</v>
      </c>
      <c r="B6" s="3">
        <v>1</v>
      </c>
      <c r="C6" s="46"/>
      <c r="D6" s="47"/>
      <c r="E6" s="13"/>
    </row>
    <row r="7" spans="1:5" x14ac:dyDescent="0.55000000000000004">
      <c r="A7" s="5">
        <v>-1</v>
      </c>
      <c r="B7" s="7">
        <v>1</v>
      </c>
      <c r="C7" s="48"/>
      <c r="D7" s="49"/>
      <c r="E7" s="14"/>
    </row>
    <row r="8" spans="1:5" x14ac:dyDescent="0.55000000000000004">
      <c r="A8" s="5">
        <v>-1</v>
      </c>
      <c r="B8" s="7">
        <v>-1</v>
      </c>
      <c r="C8" s="48"/>
      <c r="D8" s="49"/>
      <c r="E8" s="14"/>
    </row>
    <row r="9" spans="1:5" x14ac:dyDescent="0.55000000000000004">
      <c r="A9" s="5">
        <v>0</v>
      </c>
      <c r="B9" s="7">
        <v>1</v>
      </c>
      <c r="C9" s="48"/>
      <c r="D9" s="49"/>
      <c r="E9" s="14"/>
    </row>
    <row r="10" spans="1:5" x14ac:dyDescent="0.55000000000000004">
      <c r="A10" s="9">
        <v>0</v>
      </c>
      <c r="B10" s="11">
        <v>0</v>
      </c>
      <c r="C10" s="50"/>
      <c r="D10" s="51"/>
      <c r="E10" s="15"/>
    </row>
  </sheetData>
  <mergeCells count="1">
    <mergeCell ref="E4:E5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3" r:id="rId3" name="Button 3">
              <controlPr defaultSize="0" print="0" autoFill="0" autoPict="0" macro="[0]!Ex10.Start">
                <anchor moveWithCells="1" sizeWithCells="1">
                  <from>
                    <xdr:col>2</xdr:col>
                    <xdr:colOff>0</xdr:colOff>
                    <xdr:row>1</xdr:row>
                    <xdr:rowOff>12700</xdr:rowOff>
                  </from>
                  <to>
                    <xdr:col>2</xdr:col>
                    <xdr:colOff>679450</xdr:colOff>
                    <xdr:row>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4" name="Button 4">
              <controlPr defaultSize="0" print="0" autoFill="0" autoPict="0" macro="[0]!Ex10.Clear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12700</xdr:colOff>
                    <xdr:row>2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3A91BB-2B00-4FD3-B573-C40E1484FD04}">
  <sheetPr codeName="Sheet18"/>
  <dimension ref="A1:D18"/>
  <sheetViews>
    <sheetView workbookViewId="0"/>
  </sheetViews>
  <sheetFormatPr defaultRowHeight="18" x14ac:dyDescent="0.55000000000000004"/>
  <sheetData>
    <row r="1" spans="1:4" x14ac:dyDescent="0.55000000000000004">
      <c r="A1" t="s">
        <v>58</v>
      </c>
    </row>
    <row r="3" spans="1:4" x14ac:dyDescent="0.55000000000000004">
      <c r="A3" s="59" t="s">
        <v>32</v>
      </c>
      <c r="B3" s="60"/>
      <c r="C3" s="59" t="s">
        <v>33</v>
      </c>
      <c r="D3" s="60"/>
    </row>
    <row r="4" spans="1:4" x14ac:dyDescent="0.55000000000000004">
      <c r="A4" s="55" t="s">
        <v>34</v>
      </c>
      <c r="B4" s="56" t="s">
        <v>35</v>
      </c>
      <c r="C4" s="55" t="s">
        <v>34</v>
      </c>
      <c r="D4" s="56" t="s">
        <v>35</v>
      </c>
    </row>
    <row r="5" spans="1:4" x14ac:dyDescent="0.55000000000000004">
      <c r="A5" s="9">
        <v>-1.2</v>
      </c>
      <c r="B5" s="11">
        <v>1</v>
      </c>
      <c r="C5" s="50"/>
      <c r="D5" s="51"/>
    </row>
    <row r="7" spans="1:4" x14ac:dyDescent="0.55000000000000004">
      <c r="A7" s="65" t="s">
        <v>37</v>
      </c>
      <c r="B7" s="39">
        <v>2</v>
      </c>
      <c r="C7" s="66"/>
    </row>
    <row r="8" spans="1:4" x14ac:dyDescent="0.55000000000000004">
      <c r="A8" s="67" t="s">
        <v>38</v>
      </c>
      <c r="B8" s="52"/>
      <c r="C8" s="53"/>
    </row>
    <row r="9" spans="1:4" x14ac:dyDescent="0.55000000000000004">
      <c r="A9" s="67" t="s">
        <v>50</v>
      </c>
      <c r="B9" s="71">
        <f>100*(C8-B8^2)^2+(1-B8)^2</f>
        <v>1</v>
      </c>
    </row>
    <row r="11" spans="1:4" x14ac:dyDescent="0.55000000000000004">
      <c r="A11" s="85">
        <v>2</v>
      </c>
    </row>
    <row r="12" spans="1:4" x14ac:dyDescent="0.55000000000000004">
      <c r="A12" s="86" t="s">
        <v>40</v>
      </c>
    </row>
    <row r="13" spans="1:4" x14ac:dyDescent="0.55000000000000004">
      <c r="A13" s="86" t="s">
        <v>57</v>
      </c>
    </row>
    <row r="14" spans="1:4" x14ac:dyDescent="0.55000000000000004">
      <c r="A14" s="86" t="s">
        <v>42</v>
      </c>
    </row>
    <row r="15" spans="1:4" x14ac:dyDescent="0.55000000000000004">
      <c r="A15" s="86" t="s">
        <v>43</v>
      </c>
    </row>
    <row r="16" spans="1:4" x14ac:dyDescent="0.55000000000000004">
      <c r="A16" s="86" t="s">
        <v>44</v>
      </c>
    </row>
    <row r="17" spans="1:1" x14ac:dyDescent="0.55000000000000004">
      <c r="A17" s="86">
        <v>1E-8</v>
      </c>
    </row>
    <row r="18" spans="1:1" x14ac:dyDescent="0.55000000000000004">
      <c r="A18" s="87">
        <v>1</v>
      </c>
    </row>
  </sheetData>
  <phoneticPr fontId="1"/>
  <dataValidations count="1">
    <dataValidation type="whole" allowBlank="1" showInputMessage="1" showErrorMessage="1" sqref="B7" xr:uid="{6DA98C52-2222-4F00-97D5-FC013D5D6256}">
      <formula1>1</formula1>
      <formula2>4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DA44D3-D15F-48B6-838A-F7E83BDFC3E8}">
  <sheetPr codeName="Sheet19"/>
  <dimension ref="A1:C11"/>
  <sheetViews>
    <sheetView workbookViewId="0"/>
  </sheetViews>
  <sheetFormatPr defaultRowHeight="18" x14ac:dyDescent="0.55000000000000004"/>
  <cols>
    <col min="2" max="3" width="12.58203125" customWidth="1"/>
  </cols>
  <sheetData>
    <row r="1" spans="1:3" x14ac:dyDescent="0.55000000000000004">
      <c r="A1" t="s">
        <v>59</v>
      </c>
    </row>
    <row r="4" spans="1:3" x14ac:dyDescent="0.55000000000000004">
      <c r="A4" s="74" t="s">
        <v>0</v>
      </c>
      <c r="B4" s="4">
        <v>0</v>
      </c>
    </row>
    <row r="5" spans="1:3" x14ac:dyDescent="0.55000000000000004">
      <c r="A5" s="75" t="s">
        <v>1</v>
      </c>
      <c r="B5" s="12">
        <v>4</v>
      </c>
    </row>
    <row r="7" spans="1:3" x14ac:dyDescent="0.55000000000000004">
      <c r="A7" s="62"/>
      <c r="B7" s="62" t="s">
        <v>60</v>
      </c>
      <c r="C7" s="62" t="s">
        <v>95</v>
      </c>
    </row>
    <row r="8" spans="1:3" x14ac:dyDescent="0.55000000000000004">
      <c r="A8" s="62" t="s">
        <v>61</v>
      </c>
      <c r="B8" s="16"/>
      <c r="C8" s="16"/>
    </row>
    <row r="9" spans="1:3" x14ac:dyDescent="0.55000000000000004">
      <c r="A9" s="62" t="s">
        <v>138</v>
      </c>
      <c r="B9" s="16"/>
      <c r="C9" s="16"/>
    </row>
    <row r="10" spans="1:3" x14ac:dyDescent="0.55000000000000004">
      <c r="A10" s="62" t="s">
        <v>62</v>
      </c>
      <c r="B10" s="16"/>
      <c r="C10" s="54"/>
    </row>
    <row r="11" spans="1:3" x14ac:dyDescent="0.55000000000000004">
      <c r="A11" s="62" t="s">
        <v>6</v>
      </c>
      <c r="B11" s="16"/>
      <c r="C11" s="73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Ex11.Start">
                <anchor moveWithCells="1" sizeWithCells="1">
                  <from>
                    <xdr:col>1</xdr:col>
                    <xdr:colOff>12700</xdr:colOff>
                    <xdr:row>1</xdr:row>
                    <xdr:rowOff>12700</xdr:rowOff>
                  </from>
                  <to>
                    <xdr:col>1</xdr:col>
                    <xdr:colOff>685800</xdr:colOff>
                    <xdr:row>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4" name="Button 2">
              <controlPr defaultSize="0" print="0" autoFill="0" autoPict="0" macro="[0]!Ex11.Clear">
                <anchor moveWithCells="1" sizeWithCells="1">
                  <from>
                    <xdr:col>2</xdr:col>
                    <xdr:colOff>260350</xdr:colOff>
                    <xdr:row>1</xdr:row>
                    <xdr:rowOff>0</xdr:rowOff>
                  </from>
                  <to>
                    <xdr:col>2</xdr:col>
                    <xdr:colOff>952500</xdr:colOff>
                    <xdr:row>2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FD97C-3CE3-456D-8BA7-36A1C0CC0E6E}">
  <sheetPr codeName="Sheet20"/>
  <dimension ref="A1:C15"/>
  <sheetViews>
    <sheetView workbookViewId="0"/>
  </sheetViews>
  <sheetFormatPr defaultRowHeight="18" x14ac:dyDescent="0.55000000000000004"/>
  <cols>
    <col min="3" max="3" width="12.58203125" customWidth="1"/>
  </cols>
  <sheetData>
    <row r="1" spans="1:3" x14ac:dyDescent="0.55000000000000004">
      <c r="A1" t="s">
        <v>65</v>
      </c>
    </row>
    <row r="3" spans="1:3" x14ac:dyDescent="0.55000000000000004">
      <c r="A3" s="67" t="s">
        <v>38</v>
      </c>
      <c r="B3" s="16"/>
    </row>
    <row r="4" spans="1:3" x14ac:dyDescent="0.55000000000000004">
      <c r="A4" s="72" t="s">
        <v>50</v>
      </c>
      <c r="B4" s="12">
        <f>1/(B3+1)</f>
        <v>1</v>
      </c>
    </row>
    <row r="6" spans="1:3" x14ac:dyDescent="0.55000000000000004">
      <c r="A6" s="70" t="s">
        <v>47</v>
      </c>
      <c r="B6" s="70" t="s">
        <v>48</v>
      </c>
      <c r="C6" s="70" t="s">
        <v>63</v>
      </c>
    </row>
    <row r="7" spans="1:3" x14ac:dyDescent="0.55000000000000004">
      <c r="A7" s="71">
        <v>0</v>
      </c>
      <c r="B7" s="71">
        <v>4</v>
      </c>
      <c r="C7" s="16"/>
    </row>
    <row r="9" spans="1:3" x14ac:dyDescent="0.55000000000000004">
      <c r="A9" s="85" t="s">
        <v>67</v>
      </c>
    </row>
    <row r="10" spans="1:3" x14ac:dyDescent="0.55000000000000004">
      <c r="A10" s="86" t="s">
        <v>68</v>
      </c>
    </row>
    <row r="11" spans="1:3" x14ac:dyDescent="0.55000000000000004">
      <c r="A11" s="86" t="s">
        <v>69</v>
      </c>
    </row>
    <row r="12" spans="1:3" x14ac:dyDescent="0.55000000000000004">
      <c r="A12" s="86">
        <v>1E-8</v>
      </c>
    </row>
    <row r="13" spans="1:3" x14ac:dyDescent="0.55000000000000004">
      <c r="A13" s="86">
        <v>1</v>
      </c>
    </row>
    <row r="14" spans="1:3" x14ac:dyDescent="0.55000000000000004">
      <c r="A14" s="86">
        <v>0</v>
      </c>
    </row>
    <row r="15" spans="1:3" x14ac:dyDescent="0.55000000000000004">
      <c r="A15" s="87">
        <v>0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A00E4-7342-4235-AA78-C9FF1661EADC}">
  <sheetPr codeName="Sheet27"/>
  <dimension ref="A1:B18"/>
  <sheetViews>
    <sheetView workbookViewId="0"/>
  </sheetViews>
  <sheetFormatPr defaultRowHeight="18" x14ac:dyDescent="0.55000000000000004"/>
  <cols>
    <col min="2" max="2" width="12.58203125" customWidth="1"/>
  </cols>
  <sheetData>
    <row r="1" spans="1:2" x14ac:dyDescent="0.55000000000000004">
      <c r="A1" t="s">
        <v>66</v>
      </c>
    </row>
    <row r="4" spans="1:2" x14ac:dyDescent="0.55000000000000004">
      <c r="A4" s="62" t="s">
        <v>9</v>
      </c>
      <c r="B4" s="62" t="s">
        <v>64</v>
      </c>
    </row>
    <row r="5" spans="1:2" x14ac:dyDescent="0.55000000000000004">
      <c r="A5" s="4">
        <v>0</v>
      </c>
      <c r="B5" s="4">
        <f>1/(A5+1)</f>
        <v>1</v>
      </c>
    </row>
    <row r="6" spans="1:2" x14ac:dyDescent="0.55000000000000004">
      <c r="A6" s="8">
        <v>0.5</v>
      </c>
      <c r="B6" s="8">
        <f t="shared" ref="B6:B13" si="0">1/(A6+1)</f>
        <v>0.66666666666666663</v>
      </c>
    </row>
    <row r="7" spans="1:2" x14ac:dyDescent="0.55000000000000004">
      <c r="A7" s="8">
        <v>1</v>
      </c>
      <c r="B7" s="8">
        <f t="shared" si="0"/>
        <v>0.5</v>
      </c>
    </row>
    <row r="8" spans="1:2" x14ac:dyDescent="0.55000000000000004">
      <c r="A8" s="8">
        <v>1.5</v>
      </c>
      <c r="B8" s="8">
        <f t="shared" si="0"/>
        <v>0.4</v>
      </c>
    </row>
    <row r="9" spans="1:2" x14ac:dyDescent="0.55000000000000004">
      <c r="A9" s="8">
        <v>2</v>
      </c>
      <c r="B9" s="8">
        <f t="shared" si="0"/>
        <v>0.33333333333333331</v>
      </c>
    </row>
    <row r="10" spans="1:2" x14ac:dyDescent="0.55000000000000004">
      <c r="A10" s="8">
        <v>2.5</v>
      </c>
      <c r="B10" s="8">
        <f t="shared" si="0"/>
        <v>0.2857142857142857</v>
      </c>
    </row>
    <row r="11" spans="1:2" x14ac:dyDescent="0.55000000000000004">
      <c r="A11" s="8">
        <v>3</v>
      </c>
      <c r="B11" s="8">
        <f t="shared" si="0"/>
        <v>0.25</v>
      </c>
    </row>
    <row r="12" spans="1:2" x14ac:dyDescent="0.55000000000000004">
      <c r="A12" s="8">
        <v>3.5</v>
      </c>
      <c r="B12" s="8">
        <f t="shared" si="0"/>
        <v>0.22222222222222221</v>
      </c>
    </row>
    <row r="13" spans="1:2" x14ac:dyDescent="0.55000000000000004">
      <c r="A13" s="12">
        <v>4</v>
      </c>
      <c r="B13" s="12">
        <f t="shared" si="0"/>
        <v>0.2</v>
      </c>
    </row>
    <row r="15" spans="1:2" x14ac:dyDescent="0.55000000000000004">
      <c r="A15" s="62" t="s">
        <v>0</v>
      </c>
      <c r="B15" s="71">
        <v>0</v>
      </c>
    </row>
    <row r="16" spans="1:2" x14ac:dyDescent="0.55000000000000004">
      <c r="A16" s="62" t="s">
        <v>1</v>
      </c>
      <c r="B16" s="71">
        <v>4</v>
      </c>
    </row>
    <row r="18" spans="1:2" x14ac:dyDescent="0.55000000000000004">
      <c r="A18" s="62" t="s">
        <v>61</v>
      </c>
      <c r="B18" s="16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Ex11.Start_2">
                <anchor moveWithCells="1" sizeWithCells="1">
                  <from>
                    <xdr:col>1</xdr:col>
                    <xdr:colOff>12700</xdr:colOff>
                    <xdr:row>1</xdr:row>
                    <xdr:rowOff>12700</xdr:rowOff>
                  </from>
                  <to>
                    <xdr:col>1</xdr:col>
                    <xdr:colOff>685800</xdr:colOff>
                    <xdr:row>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4" name="Button 2">
              <controlPr defaultSize="0" print="0" autoFill="0" autoPict="0" macro="[0]!Ex11.Clear_2">
                <anchor moveWithCells="1" sizeWithCells="1">
                  <from>
                    <xdr:col>2</xdr:col>
                    <xdr:colOff>12700</xdr:colOff>
                    <xdr:row>1</xdr:row>
                    <xdr:rowOff>0</xdr:rowOff>
                  </from>
                  <to>
                    <xdr:col>3</xdr:col>
                    <xdr:colOff>19050</xdr:colOff>
                    <xdr:row>2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4AFCC-35A5-4755-9501-47D7A825DA85}">
  <sheetPr codeName="Sheet21"/>
  <dimension ref="A1:C17"/>
  <sheetViews>
    <sheetView workbookViewId="0"/>
  </sheetViews>
  <sheetFormatPr defaultRowHeight="18" x14ac:dyDescent="0.55000000000000004"/>
  <cols>
    <col min="2" max="3" width="12.58203125" customWidth="1"/>
  </cols>
  <sheetData>
    <row r="1" spans="1:3" x14ac:dyDescent="0.55000000000000004">
      <c r="A1" t="s">
        <v>66</v>
      </c>
    </row>
    <row r="3" spans="1:3" x14ac:dyDescent="0.55000000000000004">
      <c r="A3" s="62" t="s">
        <v>9</v>
      </c>
      <c r="B3" s="62" t="s">
        <v>64</v>
      </c>
      <c r="C3" s="62" t="s">
        <v>36</v>
      </c>
    </row>
    <row r="4" spans="1:3" x14ac:dyDescent="0.55000000000000004">
      <c r="A4" s="4">
        <v>0</v>
      </c>
      <c r="B4" s="4">
        <f t="shared" ref="B4:B12" si="0">1/(A4+1)</f>
        <v>1</v>
      </c>
      <c r="C4" s="13">
        <f t="array" ref="C4:C12">_xll.WPchse(9,A4:A12,B4:B12)</f>
        <v>-0.91107922941256292</v>
      </c>
    </row>
    <row r="5" spans="1:3" x14ac:dyDescent="0.55000000000000004">
      <c r="A5" s="8">
        <v>0.5</v>
      </c>
      <c r="B5" s="8">
        <f t="shared" si="0"/>
        <v>0.66666666666666663</v>
      </c>
      <c r="C5" s="14">
        <v>-0.46112705196038528</v>
      </c>
    </row>
    <row r="6" spans="1:3" x14ac:dyDescent="0.55000000000000004">
      <c r="A6" s="8">
        <v>1</v>
      </c>
      <c r="B6" s="8">
        <f t="shared" si="0"/>
        <v>0.5</v>
      </c>
      <c r="C6" s="14">
        <v>-0.24441256274589598</v>
      </c>
    </row>
    <row r="7" spans="1:3" x14ac:dyDescent="0.55000000000000004">
      <c r="A7" s="8">
        <v>1.5</v>
      </c>
      <c r="B7" s="8">
        <f t="shared" si="0"/>
        <v>0.4</v>
      </c>
      <c r="C7" s="14">
        <v>-0.1612226970560304</v>
      </c>
    </row>
    <row r="8" spans="1:3" x14ac:dyDescent="0.55000000000000004">
      <c r="A8" s="8">
        <v>2</v>
      </c>
      <c r="B8" s="8">
        <f t="shared" si="0"/>
        <v>0.33333333333333331</v>
      </c>
      <c r="C8" s="14">
        <v>-0.11069664902998243</v>
      </c>
    </row>
    <row r="9" spans="1:3" x14ac:dyDescent="0.55000000000000004">
      <c r="A9" s="8">
        <v>2.5</v>
      </c>
      <c r="B9" s="8">
        <f t="shared" si="0"/>
        <v>0.2857142857142857</v>
      </c>
      <c r="C9" s="14">
        <v>-8.1704992538325819E-2</v>
      </c>
    </row>
    <row r="10" spans="1:3" x14ac:dyDescent="0.55000000000000004">
      <c r="A10" s="8">
        <v>3</v>
      </c>
      <c r="B10" s="8">
        <f t="shared" si="0"/>
        <v>0.25</v>
      </c>
      <c r="C10" s="14">
        <v>-6.2483380816714153E-2</v>
      </c>
    </row>
    <row r="11" spans="1:3" x14ac:dyDescent="0.55000000000000004">
      <c r="A11" s="8">
        <v>3.5</v>
      </c>
      <c r="B11" s="8">
        <f t="shared" si="0"/>
        <v>0.22222222222222221</v>
      </c>
      <c r="C11" s="14">
        <v>-4.9313865147198495E-2</v>
      </c>
    </row>
    <row r="12" spans="1:3" x14ac:dyDescent="0.55000000000000004">
      <c r="A12" s="12">
        <v>4</v>
      </c>
      <c r="B12" s="12">
        <f t="shared" si="0"/>
        <v>0.2</v>
      </c>
      <c r="C12" s="15">
        <v>-4.0261158594491808E-2</v>
      </c>
    </row>
    <row r="14" spans="1:3" x14ac:dyDescent="0.55000000000000004">
      <c r="A14" s="62" t="s">
        <v>0</v>
      </c>
      <c r="B14" s="71">
        <v>0</v>
      </c>
    </row>
    <row r="15" spans="1:3" x14ac:dyDescent="0.55000000000000004">
      <c r="A15" s="62" t="s">
        <v>1</v>
      </c>
      <c r="B15" s="71">
        <v>4</v>
      </c>
    </row>
    <row r="17" spans="1:2" x14ac:dyDescent="0.55000000000000004">
      <c r="A17" s="62" t="s">
        <v>61</v>
      </c>
      <c r="B17" s="16">
        <f>_xll.WPchia(B14,B15,9,A4:A12,B4:B12,C4:C12)</f>
        <v>1.6108262108262106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D11E6-8D53-41AB-B11A-F9642643C1A3}">
  <sheetPr codeName="Sheet22"/>
  <dimension ref="A1:D25"/>
  <sheetViews>
    <sheetView workbookViewId="0"/>
  </sheetViews>
  <sheetFormatPr defaultRowHeight="18" x14ac:dyDescent="0.55000000000000004"/>
  <cols>
    <col min="2" max="2" width="12.58203125" customWidth="1"/>
    <col min="4" max="4" width="12.58203125" customWidth="1"/>
  </cols>
  <sheetData>
    <row r="1" spans="1:4" x14ac:dyDescent="0.55000000000000004">
      <c r="A1" t="s">
        <v>116</v>
      </c>
      <c r="B1" s="76"/>
      <c r="D1" s="76"/>
    </row>
    <row r="2" spans="1:4" x14ac:dyDescent="0.55000000000000004">
      <c r="B2" s="76"/>
      <c r="D2" s="76"/>
    </row>
    <row r="3" spans="1:4" x14ac:dyDescent="0.55000000000000004">
      <c r="B3" s="76"/>
      <c r="D3" s="76"/>
    </row>
    <row r="4" spans="1:4" x14ac:dyDescent="0.55000000000000004">
      <c r="A4" s="62" t="s">
        <v>70</v>
      </c>
      <c r="B4" s="77" t="s">
        <v>71</v>
      </c>
      <c r="C4" s="62" t="s">
        <v>62</v>
      </c>
      <c r="D4" s="77" t="s">
        <v>72</v>
      </c>
    </row>
    <row r="5" spans="1:4" x14ac:dyDescent="0.55000000000000004">
      <c r="A5" s="71">
        <v>0</v>
      </c>
      <c r="B5" s="71">
        <v>0.5</v>
      </c>
      <c r="C5" s="20"/>
      <c r="D5" s="20">
        <f>1/(2-A5)</f>
        <v>0.5</v>
      </c>
    </row>
    <row r="6" spans="1:4" x14ac:dyDescent="0.55000000000000004">
      <c r="A6" s="4">
        <f>A5+0.1</f>
        <v>0.1</v>
      </c>
      <c r="B6" s="13"/>
      <c r="C6" s="13"/>
      <c r="D6" s="17">
        <f t="shared" ref="D6:D22" si="0">1/(2-A6)</f>
        <v>0.52631578947368418</v>
      </c>
    </row>
    <row r="7" spans="1:4" x14ac:dyDescent="0.55000000000000004">
      <c r="A7" s="8">
        <f t="shared" ref="A7:A24" si="1">A6+0.1</f>
        <v>0.2</v>
      </c>
      <c r="B7" s="14"/>
      <c r="C7" s="14"/>
      <c r="D7" s="18">
        <f t="shared" si="0"/>
        <v>0.55555555555555558</v>
      </c>
    </row>
    <row r="8" spans="1:4" x14ac:dyDescent="0.55000000000000004">
      <c r="A8" s="8">
        <f t="shared" si="1"/>
        <v>0.30000000000000004</v>
      </c>
      <c r="B8" s="14"/>
      <c r="C8" s="14"/>
      <c r="D8" s="18">
        <f t="shared" si="0"/>
        <v>0.58823529411764708</v>
      </c>
    </row>
    <row r="9" spans="1:4" x14ac:dyDescent="0.55000000000000004">
      <c r="A9" s="8">
        <f t="shared" si="1"/>
        <v>0.4</v>
      </c>
      <c r="B9" s="14"/>
      <c r="C9" s="14"/>
      <c r="D9" s="18">
        <f t="shared" si="0"/>
        <v>0.625</v>
      </c>
    </row>
    <row r="10" spans="1:4" x14ac:dyDescent="0.55000000000000004">
      <c r="A10" s="8">
        <f t="shared" si="1"/>
        <v>0.5</v>
      </c>
      <c r="B10" s="14"/>
      <c r="C10" s="14"/>
      <c r="D10" s="18">
        <f t="shared" si="0"/>
        <v>0.66666666666666663</v>
      </c>
    </row>
    <row r="11" spans="1:4" x14ac:dyDescent="0.55000000000000004">
      <c r="A11" s="8">
        <f t="shared" si="1"/>
        <v>0.6</v>
      </c>
      <c r="B11" s="14"/>
      <c r="C11" s="14"/>
      <c r="D11" s="18">
        <f t="shared" si="0"/>
        <v>0.7142857142857143</v>
      </c>
    </row>
    <row r="12" spans="1:4" x14ac:dyDescent="0.55000000000000004">
      <c r="A12" s="8">
        <f t="shared" si="1"/>
        <v>0.7</v>
      </c>
      <c r="B12" s="14"/>
      <c r="C12" s="14"/>
      <c r="D12" s="18">
        <f t="shared" si="0"/>
        <v>0.76923076923076916</v>
      </c>
    </row>
    <row r="13" spans="1:4" x14ac:dyDescent="0.55000000000000004">
      <c r="A13" s="8">
        <f t="shared" si="1"/>
        <v>0.79999999999999993</v>
      </c>
      <c r="B13" s="14"/>
      <c r="C13" s="14"/>
      <c r="D13" s="18">
        <f t="shared" si="0"/>
        <v>0.83333333333333326</v>
      </c>
    </row>
    <row r="14" spans="1:4" x14ac:dyDescent="0.55000000000000004">
      <c r="A14" s="8">
        <f t="shared" si="1"/>
        <v>0.89999999999999991</v>
      </c>
      <c r="B14" s="14"/>
      <c r="C14" s="14"/>
      <c r="D14" s="18">
        <f t="shared" si="0"/>
        <v>0.90909090909090906</v>
      </c>
    </row>
    <row r="15" spans="1:4" x14ac:dyDescent="0.55000000000000004">
      <c r="A15" s="12">
        <f t="shared" si="1"/>
        <v>0.99999999999999989</v>
      </c>
      <c r="B15" s="15"/>
      <c r="C15" s="15"/>
      <c r="D15" s="19">
        <f t="shared" si="0"/>
        <v>1</v>
      </c>
    </row>
    <row r="16" spans="1:4" x14ac:dyDescent="0.55000000000000004">
      <c r="A16" s="4">
        <f t="shared" si="1"/>
        <v>1.0999999999999999</v>
      </c>
      <c r="B16" s="13"/>
      <c r="C16" s="13"/>
      <c r="D16" s="17">
        <f t="shared" si="0"/>
        <v>1.1111111111111109</v>
      </c>
    </row>
    <row r="17" spans="1:4" x14ac:dyDescent="0.55000000000000004">
      <c r="A17" s="8">
        <f t="shared" si="1"/>
        <v>1.2</v>
      </c>
      <c r="B17" s="14"/>
      <c r="C17" s="14"/>
      <c r="D17" s="18">
        <f t="shared" si="0"/>
        <v>1.25</v>
      </c>
    </row>
    <row r="18" spans="1:4" x14ac:dyDescent="0.55000000000000004">
      <c r="A18" s="8">
        <f t="shared" si="1"/>
        <v>1.3</v>
      </c>
      <c r="B18" s="14"/>
      <c r="C18" s="14"/>
      <c r="D18" s="18">
        <f t="shared" si="0"/>
        <v>1.4285714285714286</v>
      </c>
    </row>
    <row r="19" spans="1:4" x14ac:dyDescent="0.55000000000000004">
      <c r="A19" s="8">
        <f t="shared" si="1"/>
        <v>1.4000000000000001</v>
      </c>
      <c r="B19" s="14"/>
      <c r="C19" s="14"/>
      <c r="D19" s="18">
        <f t="shared" si="0"/>
        <v>1.666666666666667</v>
      </c>
    </row>
    <row r="20" spans="1:4" x14ac:dyDescent="0.55000000000000004">
      <c r="A20" s="8">
        <f t="shared" si="1"/>
        <v>1.5000000000000002</v>
      </c>
      <c r="B20" s="14"/>
      <c r="C20" s="14"/>
      <c r="D20" s="18">
        <f t="shared" si="0"/>
        <v>2.0000000000000009</v>
      </c>
    </row>
    <row r="21" spans="1:4" x14ac:dyDescent="0.55000000000000004">
      <c r="A21" s="8">
        <f t="shared" si="1"/>
        <v>1.6000000000000003</v>
      </c>
      <c r="B21" s="14"/>
      <c r="C21" s="14"/>
      <c r="D21" s="18">
        <f t="shared" si="0"/>
        <v>2.5000000000000018</v>
      </c>
    </row>
    <row r="22" spans="1:4" x14ac:dyDescent="0.55000000000000004">
      <c r="A22" s="8">
        <f t="shared" si="1"/>
        <v>1.7000000000000004</v>
      </c>
      <c r="B22" s="14"/>
      <c r="C22" s="14"/>
      <c r="D22" s="18">
        <f t="shared" si="0"/>
        <v>3.3333333333333379</v>
      </c>
    </row>
    <row r="23" spans="1:4" x14ac:dyDescent="0.55000000000000004">
      <c r="A23" s="8">
        <f t="shared" si="1"/>
        <v>1.8000000000000005</v>
      </c>
      <c r="B23" s="14"/>
      <c r="C23" s="14"/>
      <c r="D23" s="18">
        <f t="shared" ref="D23" si="2">1/(2-A23)</f>
        <v>5.0000000000000124</v>
      </c>
    </row>
    <row r="24" spans="1:4" x14ac:dyDescent="0.55000000000000004">
      <c r="A24" s="12">
        <f t="shared" si="1"/>
        <v>1.9000000000000006</v>
      </c>
      <c r="B24" s="15"/>
      <c r="C24" s="15"/>
      <c r="D24" s="19">
        <f t="shared" ref="D24" si="3">1/(2-A24)</f>
        <v>10.000000000000057</v>
      </c>
    </row>
    <row r="25" spans="1:4" x14ac:dyDescent="0.55000000000000004">
      <c r="C25">
        <f>SUM(C6:C24)</f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Ex12.Start">
                <anchor moveWithCells="1" sizeWithCells="1">
                  <from>
                    <xdr:col>1</xdr:col>
                    <xdr:colOff>12700</xdr:colOff>
                    <xdr:row>1</xdr:row>
                    <xdr:rowOff>12700</xdr:rowOff>
                  </from>
                  <to>
                    <xdr:col>1</xdr:col>
                    <xdr:colOff>685800</xdr:colOff>
                    <xdr:row>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Ex12.Clear">
                <anchor moveWithCells="1" sizeWithCells="1">
                  <from>
                    <xdr:col>3</xdr:col>
                    <xdr:colOff>260350</xdr:colOff>
                    <xdr:row>1</xdr:row>
                    <xdr:rowOff>0</xdr:rowOff>
                  </from>
                  <to>
                    <xdr:col>3</xdr:col>
                    <xdr:colOff>952500</xdr:colOff>
                    <xdr:row>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5" name="Button 3">
              <controlPr defaultSize="0" print="0" autoFill="0" autoPict="0" macro="[0]!Start_d">
                <anchor moveWithCells="1" sizeWithCells="1">
                  <from>
                    <xdr:col>2</xdr:col>
                    <xdr:colOff>12700</xdr:colOff>
                    <xdr:row>1</xdr:row>
                    <xdr:rowOff>12700</xdr:rowOff>
                  </from>
                  <to>
                    <xdr:col>3</xdr:col>
                    <xdr:colOff>0</xdr:colOff>
                    <xdr:row>2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456CE-45BC-462F-9DB7-6B4277650D22}">
  <sheetPr codeName="Sheet23"/>
  <dimension ref="A1:F23"/>
  <sheetViews>
    <sheetView workbookViewId="0"/>
  </sheetViews>
  <sheetFormatPr defaultRowHeight="18" x14ac:dyDescent="0.55000000000000004"/>
  <cols>
    <col min="5" max="6" width="12.58203125" customWidth="1"/>
  </cols>
  <sheetData>
    <row r="1" spans="1:6" x14ac:dyDescent="0.55000000000000004">
      <c r="A1" t="s">
        <v>119</v>
      </c>
      <c r="B1" s="76"/>
      <c r="D1" s="76"/>
    </row>
    <row r="2" spans="1:6" x14ac:dyDescent="0.55000000000000004">
      <c r="B2" s="76"/>
      <c r="D2" s="76"/>
    </row>
    <row r="3" spans="1:6" x14ac:dyDescent="0.55000000000000004">
      <c r="A3" s="67" t="s">
        <v>73</v>
      </c>
      <c r="B3" s="20">
        <f>A8</f>
        <v>1</v>
      </c>
      <c r="D3" s="70" t="s">
        <v>70</v>
      </c>
      <c r="E3" s="70" t="s">
        <v>71</v>
      </c>
      <c r="F3" s="70" t="s">
        <v>72</v>
      </c>
    </row>
    <row r="4" spans="1:6" x14ac:dyDescent="0.55000000000000004">
      <c r="A4" s="67" t="s">
        <v>74</v>
      </c>
      <c r="B4" s="16"/>
      <c r="D4" s="71">
        <v>0</v>
      </c>
      <c r="E4" s="71">
        <v>0.5</v>
      </c>
      <c r="F4" s="20">
        <f>1/(2-D4)</f>
        <v>0.5</v>
      </c>
    </row>
    <row r="5" spans="1:6" x14ac:dyDescent="0.55000000000000004">
      <c r="A5" s="67" t="s">
        <v>75</v>
      </c>
      <c r="B5" s="16"/>
      <c r="D5" s="4">
        <f>D4+0.1</f>
        <v>0.1</v>
      </c>
      <c r="E5" s="13"/>
      <c r="F5" s="17">
        <f t="shared" ref="F5:F22" si="0">1/(2-D5)</f>
        <v>0.52631578947368418</v>
      </c>
    </row>
    <row r="6" spans="1:6" x14ac:dyDescent="0.55000000000000004">
      <c r="A6" s="67" t="s">
        <v>76</v>
      </c>
      <c r="B6" s="71">
        <f>1/(2-B4)^2</f>
        <v>0.25</v>
      </c>
      <c r="D6" s="8">
        <f t="shared" ref="D6:D23" si="1">D5+0.1</f>
        <v>0.2</v>
      </c>
      <c r="E6" s="14"/>
      <c r="F6" s="18">
        <f t="shared" si="0"/>
        <v>0.55555555555555558</v>
      </c>
    </row>
    <row r="7" spans="1:6" x14ac:dyDescent="0.55000000000000004">
      <c r="D7" s="8">
        <f t="shared" si="1"/>
        <v>0.30000000000000004</v>
      </c>
      <c r="E7" s="14"/>
      <c r="F7" s="18">
        <f t="shared" si="0"/>
        <v>0.58823529411764708</v>
      </c>
    </row>
    <row r="8" spans="1:6" x14ac:dyDescent="0.55000000000000004">
      <c r="A8" s="85">
        <v>1</v>
      </c>
      <c r="D8" s="8">
        <f t="shared" si="1"/>
        <v>0.4</v>
      </c>
      <c r="E8" s="14"/>
      <c r="F8" s="18">
        <f>1/(2-D8)</f>
        <v>0.625</v>
      </c>
    </row>
    <row r="9" spans="1:6" x14ac:dyDescent="0.55000000000000004">
      <c r="A9" s="86" t="s">
        <v>68</v>
      </c>
      <c r="D9" s="8">
        <f t="shared" si="1"/>
        <v>0.5</v>
      </c>
      <c r="E9" s="14"/>
      <c r="F9" s="18">
        <f t="shared" si="0"/>
        <v>0.66666666666666663</v>
      </c>
    </row>
    <row r="10" spans="1:6" x14ac:dyDescent="0.55000000000000004">
      <c r="A10" s="86" t="s">
        <v>77</v>
      </c>
      <c r="D10" s="8">
        <f t="shared" si="1"/>
        <v>0.6</v>
      </c>
      <c r="E10" s="14"/>
      <c r="F10" s="18">
        <f t="shared" si="0"/>
        <v>0.7142857142857143</v>
      </c>
    </row>
    <row r="11" spans="1:6" x14ac:dyDescent="0.55000000000000004">
      <c r="A11" s="86" t="s">
        <v>51</v>
      </c>
      <c r="D11" s="8">
        <f t="shared" si="1"/>
        <v>0.7</v>
      </c>
      <c r="E11" s="14"/>
      <c r="F11" s="18">
        <f t="shared" si="0"/>
        <v>0.76923076923076916</v>
      </c>
    </row>
    <row r="12" spans="1:6" x14ac:dyDescent="0.55000000000000004">
      <c r="A12" s="86" t="s">
        <v>105</v>
      </c>
      <c r="D12" s="8">
        <f t="shared" si="1"/>
        <v>0.79999999999999993</v>
      </c>
      <c r="E12" s="14"/>
      <c r="F12" s="18">
        <f t="shared" si="0"/>
        <v>0.83333333333333326</v>
      </c>
    </row>
    <row r="13" spans="1:6" x14ac:dyDescent="0.55000000000000004">
      <c r="A13" s="86">
        <v>1E-8</v>
      </c>
      <c r="D13" s="8">
        <f t="shared" si="1"/>
        <v>0.89999999999999991</v>
      </c>
      <c r="E13" s="14"/>
      <c r="F13" s="18">
        <f t="shared" si="0"/>
        <v>0.90909090909090906</v>
      </c>
    </row>
    <row r="14" spans="1:6" x14ac:dyDescent="0.55000000000000004">
      <c r="A14" s="87">
        <v>1</v>
      </c>
      <c r="D14" s="12">
        <f t="shared" si="1"/>
        <v>0.99999999999999989</v>
      </c>
      <c r="E14" s="15"/>
      <c r="F14" s="19">
        <f t="shared" si="0"/>
        <v>1</v>
      </c>
    </row>
    <row r="15" spans="1:6" x14ac:dyDescent="0.55000000000000004">
      <c r="D15" s="4">
        <f t="shared" si="1"/>
        <v>1.0999999999999999</v>
      </c>
      <c r="E15" s="13"/>
      <c r="F15" s="17">
        <f t="shared" si="0"/>
        <v>1.1111111111111109</v>
      </c>
    </row>
    <row r="16" spans="1:6" x14ac:dyDescent="0.55000000000000004">
      <c r="D16" s="8">
        <f t="shared" si="1"/>
        <v>1.2</v>
      </c>
      <c r="E16" s="14"/>
      <c r="F16" s="18">
        <f t="shared" si="0"/>
        <v>1.25</v>
      </c>
    </row>
    <row r="17" spans="4:6" x14ac:dyDescent="0.55000000000000004">
      <c r="D17" s="8">
        <f t="shared" si="1"/>
        <v>1.3</v>
      </c>
      <c r="E17" s="14"/>
      <c r="F17" s="18">
        <f t="shared" si="0"/>
        <v>1.4285714285714286</v>
      </c>
    </row>
    <row r="18" spans="4:6" x14ac:dyDescent="0.55000000000000004">
      <c r="D18" s="8">
        <f t="shared" si="1"/>
        <v>1.4000000000000001</v>
      </c>
      <c r="E18" s="14"/>
      <c r="F18" s="18">
        <f t="shared" si="0"/>
        <v>1.666666666666667</v>
      </c>
    </row>
    <row r="19" spans="4:6" x14ac:dyDescent="0.55000000000000004">
      <c r="D19" s="8">
        <f t="shared" si="1"/>
        <v>1.5000000000000002</v>
      </c>
      <c r="E19" s="14"/>
      <c r="F19" s="18">
        <f t="shared" si="0"/>
        <v>2.0000000000000009</v>
      </c>
    </row>
    <row r="20" spans="4:6" x14ac:dyDescent="0.55000000000000004">
      <c r="D20" s="8">
        <f t="shared" si="1"/>
        <v>1.6000000000000003</v>
      </c>
      <c r="E20" s="14"/>
      <c r="F20" s="18">
        <f t="shared" si="0"/>
        <v>2.5000000000000018</v>
      </c>
    </row>
    <row r="21" spans="4:6" x14ac:dyDescent="0.55000000000000004">
      <c r="D21" s="8">
        <f t="shared" si="1"/>
        <v>1.7000000000000004</v>
      </c>
      <c r="E21" s="14"/>
      <c r="F21" s="18">
        <f t="shared" si="0"/>
        <v>3.3333333333333379</v>
      </c>
    </row>
    <row r="22" spans="4:6" x14ac:dyDescent="0.55000000000000004">
      <c r="D22" s="8">
        <f t="shared" si="1"/>
        <v>1.8000000000000005</v>
      </c>
      <c r="E22" s="14"/>
      <c r="F22" s="18">
        <f t="shared" si="0"/>
        <v>5.0000000000000124</v>
      </c>
    </row>
    <row r="23" spans="4:6" x14ac:dyDescent="0.55000000000000004">
      <c r="D23" s="12">
        <f t="shared" si="1"/>
        <v>1.9000000000000006</v>
      </c>
      <c r="E23" s="15"/>
      <c r="F23" s="19">
        <f t="shared" ref="F23" si="2">1/(2-D23)</f>
        <v>10.000000000000057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DE54C-2406-4D97-BE62-EA23CD141896}">
  <sheetPr codeName="Sheet29"/>
  <dimension ref="A1:F24"/>
  <sheetViews>
    <sheetView workbookViewId="0"/>
  </sheetViews>
  <sheetFormatPr defaultRowHeight="18" x14ac:dyDescent="0.55000000000000004"/>
  <cols>
    <col min="2" max="5" width="12.58203125" customWidth="1"/>
  </cols>
  <sheetData>
    <row r="1" spans="1:6" x14ac:dyDescent="0.55000000000000004">
      <c r="A1" t="s">
        <v>117</v>
      </c>
      <c r="B1" s="76"/>
      <c r="C1" s="76"/>
    </row>
    <row r="2" spans="1:6" x14ac:dyDescent="0.55000000000000004">
      <c r="B2" s="76"/>
      <c r="C2" s="76"/>
    </row>
    <row r="3" spans="1:6" x14ac:dyDescent="0.55000000000000004">
      <c r="B3" s="76"/>
      <c r="C3" s="76"/>
    </row>
    <row r="4" spans="1:6" x14ac:dyDescent="0.55000000000000004">
      <c r="A4" s="62" t="s">
        <v>114</v>
      </c>
      <c r="B4" s="78" t="s">
        <v>106</v>
      </c>
      <c r="C4" s="81" t="s">
        <v>108</v>
      </c>
      <c r="D4" s="78" t="s">
        <v>127</v>
      </c>
      <c r="E4" s="81" t="s">
        <v>129</v>
      </c>
      <c r="F4" s="62" t="s">
        <v>115</v>
      </c>
    </row>
    <row r="5" spans="1:6" x14ac:dyDescent="0.55000000000000004">
      <c r="A5" s="71">
        <v>0</v>
      </c>
      <c r="B5" s="68">
        <v>1</v>
      </c>
      <c r="C5" s="69">
        <v>0</v>
      </c>
      <c r="D5" s="68">
        <v>0</v>
      </c>
      <c r="E5" s="69">
        <f>SQRT(3)</f>
        <v>1.7320508075688772</v>
      </c>
      <c r="F5" s="20"/>
    </row>
    <row r="6" spans="1:6" x14ac:dyDescent="0.55000000000000004">
      <c r="A6" s="4">
        <f>A5+0.5</f>
        <v>0.5</v>
      </c>
      <c r="B6" s="46"/>
      <c r="C6" s="47"/>
      <c r="D6" s="46"/>
      <c r="E6" s="47"/>
      <c r="F6" s="13"/>
    </row>
    <row r="7" spans="1:6" x14ac:dyDescent="0.55000000000000004">
      <c r="A7" s="8">
        <f t="shared" ref="A7:A24" si="0">A6+0.5</f>
        <v>1</v>
      </c>
      <c r="B7" s="48"/>
      <c r="C7" s="49"/>
      <c r="D7" s="48"/>
      <c r="E7" s="49"/>
      <c r="F7" s="14"/>
    </row>
    <row r="8" spans="1:6" x14ac:dyDescent="0.55000000000000004">
      <c r="A8" s="8">
        <f t="shared" si="0"/>
        <v>1.5</v>
      </c>
      <c r="B8" s="48"/>
      <c r="C8" s="49"/>
      <c r="D8" s="48"/>
      <c r="E8" s="49"/>
      <c r="F8" s="14"/>
    </row>
    <row r="9" spans="1:6" x14ac:dyDescent="0.55000000000000004">
      <c r="A9" s="8">
        <f t="shared" si="0"/>
        <v>2</v>
      </c>
      <c r="B9" s="48"/>
      <c r="C9" s="49"/>
      <c r="D9" s="48"/>
      <c r="E9" s="49"/>
      <c r="F9" s="14"/>
    </row>
    <row r="10" spans="1:6" x14ac:dyDescent="0.55000000000000004">
      <c r="A10" s="8">
        <f t="shared" si="0"/>
        <v>2.5</v>
      </c>
      <c r="B10" s="48"/>
      <c r="C10" s="49"/>
      <c r="D10" s="48"/>
      <c r="E10" s="49"/>
      <c r="F10" s="14"/>
    </row>
    <row r="11" spans="1:6" x14ac:dyDescent="0.55000000000000004">
      <c r="A11" s="8">
        <f t="shared" si="0"/>
        <v>3</v>
      </c>
      <c r="B11" s="48"/>
      <c r="C11" s="49"/>
      <c r="D11" s="48"/>
      <c r="E11" s="49"/>
      <c r="F11" s="14"/>
    </row>
    <row r="12" spans="1:6" x14ac:dyDescent="0.55000000000000004">
      <c r="A12" s="8">
        <f t="shared" si="0"/>
        <v>3.5</v>
      </c>
      <c r="B12" s="48"/>
      <c r="C12" s="49"/>
      <c r="D12" s="48"/>
      <c r="E12" s="49"/>
      <c r="F12" s="14"/>
    </row>
    <row r="13" spans="1:6" x14ac:dyDescent="0.55000000000000004">
      <c r="A13" s="8">
        <f t="shared" si="0"/>
        <v>4</v>
      </c>
      <c r="B13" s="48"/>
      <c r="C13" s="49"/>
      <c r="D13" s="48"/>
      <c r="E13" s="49"/>
      <c r="F13" s="14"/>
    </row>
    <row r="14" spans="1:6" x14ac:dyDescent="0.55000000000000004">
      <c r="A14" s="8">
        <f t="shared" si="0"/>
        <v>4.5</v>
      </c>
      <c r="B14" s="48"/>
      <c r="C14" s="49"/>
      <c r="D14" s="48"/>
      <c r="E14" s="49"/>
      <c r="F14" s="14"/>
    </row>
    <row r="15" spans="1:6" x14ac:dyDescent="0.55000000000000004">
      <c r="A15" s="12">
        <f t="shared" si="0"/>
        <v>5</v>
      </c>
      <c r="B15" s="50"/>
      <c r="C15" s="51"/>
      <c r="D15" s="50"/>
      <c r="E15" s="51"/>
      <c r="F15" s="15"/>
    </row>
    <row r="16" spans="1:6" x14ac:dyDescent="0.55000000000000004">
      <c r="A16" s="4">
        <f t="shared" si="0"/>
        <v>5.5</v>
      </c>
      <c r="B16" s="46"/>
      <c r="C16" s="47"/>
      <c r="D16" s="46"/>
      <c r="E16" s="47"/>
      <c r="F16" s="13"/>
    </row>
    <row r="17" spans="1:6" x14ac:dyDescent="0.55000000000000004">
      <c r="A17" s="8">
        <f t="shared" si="0"/>
        <v>6</v>
      </c>
      <c r="B17" s="48"/>
      <c r="C17" s="49"/>
      <c r="D17" s="48"/>
      <c r="E17" s="49"/>
      <c r="F17" s="14"/>
    </row>
    <row r="18" spans="1:6" x14ac:dyDescent="0.55000000000000004">
      <c r="A18" s="8">
        <f t="shared" si="0"/>
        <v>6.5</v>
      </c>
      <c r="B18" s="48"/>
      <c r="C18" s="49"/>
      <c r="D18" s="48"/>
      <c r="E18" s="49"/>
      <c r="F18" s="14"/>
    </row>
    <row r="19" spans="1:6" x14ac:dyDescent="0.55000000000000004">
      <c r="A19" s="8">
        <f t="shared" si="0"/>
        <v>7</v>
      </c>
      <c r="B19" s="48"/>
      <c r="C19" s="49"/>
      <c r="D19" s="48"/>
      <c r="E19" s="49"/>
      <c r="F19" s="14"/>
    </row>
    <row r="20" spans="1:6" x14ac:dyDescent="0.55000000000000004">
      <c r="A20" s="8">
        <f t="shared" si="0"/>
        <v>7.5</v>
      </c>
      <c r="B20" s="48"/>
      <c r="C20" s="49"/>
      <c r="D20" s="48"/>
      <c r="E20" s="49"/>
      <c r="F20" s="14"/>
    </row>
    <row r="21" spans="1:6" x14ac:dyDescent="0.55000000000000004">
      <c r="A21" s="8">
        <f t="shared" si="0"/>
        <v>8</v>
      </c>
      <c r="B21" s="48"/>
      <c r="C21" s="49"/>
      <c r="D21" s="48"/>
      <c r="E21" s="49"/>
      <c r="F21" s="14"/>
    </row>
    <row r="22" spans="1:6" x14ac:dyDescent="0.55000000000000004">
      <c r="A22" s="8">
        <f t="shared" si="0"/>
        <v>8.5</v>
      </c>
      <c r="B22" s="48"/>
      <c r="C22" s="49"/>
      <c r="D22" s="48"/>
      <c r="E22" s="49"/>
      <c r="F22" s="14"/>
    </row>
    <row r="23" spans="1:6" x14ac:dyDescent="0.55000000000000004">
      <c r="A23" s="8">
        <f t="shared" si="0"/>
        <v>9</v>
      </c>
      <c r="B23" s="48"/>
      <c r="C23" s="49"/>
      <c r="D23" s="48"/>
      <c r="E23" s="49"/>
      <c r="F23" s="14"/>
    </row>
    <row r="24" spans="1:6" x14ac:dyDescent="0.55000000000000004">
      <c r="A24" s="12">
        <f t="shared" si="0"/>
        <v>9.5</v>
      </c>
      <c r="B24" s="50"/>
      <c r="C24" s="51"/>
      <c r="D24" s="50"/>
      <c r="E24" s="51"/>
      <c r="F24" s="15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Ex12.Start_2">
                <anchor moveWithCells="1" sizeWithCells="1">
                  <from>
                    <xdr:col>2</xdr:col>
                    <xdr:colOff>12700</xdr:colOff>
                    <xdr:row>1</xdr:row>
                    <xdr:rowOff>12700</xdr:rowOff>
                  </from>
                  <to>
                    <xdr:col>2</xdr:col>
                    <xdr:colOff>685800</xdr:colOff>
                    <xdr:row>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Button 2">
              <controlPr defaultSize="0" print="0" autoFill="0" autoPict="0" macro="[0]!Ex12.Clear_2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3</xdr:col>
                    <xdr:colOff>711200</xdr:colOff>
                    <xdr:row>2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508771-A459-48A8-8906-1296A0511B69}">
  <sheetPr codeName="Sheet32"/>
  <dimension ref="A1:H23"/>
  <sheetViews>
    <sheetView workbookViewId="0"/>
  </sheetViews>
  <sheetFormatPr defaultRowHeight="18" x14ac:dyDescent="0.55000000000000004"/>
  <cols>
    <col min="5" max="8" width="12.58203125" customWidth="1"/>
  </cols>
  <sheetData>
    <row r="1" spans="1:8" x14ac:dyDescent="0.55000000000000004">
      <c r="A1" t="s">
        <v>120</v>
      </c>
      <c r="B1" s="76"/>
      <c r="D1" s="76"/>
    </row>
    <row r="2" spans="1:8" x14ac:dyDescent="0.55000000000000004">
      <c r="B2" s="76"/>
      <c r="D2" s="76"/>
    </row>
    <row r="3" spans="1:8" x14ac:dyDescent="0.55000000000000004">
      <c r="A3" s="67" t="s">
        <v>73</v>
      </c>
      <c r="B3" s="20">
        <f>A14</f>
        <v>4</v>
      </c>
      <c r="D3" s="70" t="s">
        <v>70</v>
      </c>
      <c r="E3" s="83" t="s">
        <v>106</v>
      </c>
      <c r="F3" s="84" t="s">
        <v>108</v>
      </c>
      <c r="G3" s="83" t="s">
        <v>128</v>
      </c>
      <c r="H3" s="84" t="s">
        <v>130</v>
      </c>
    </row>
    <row r="4" spans="1:8" x14ac:dyDescent="0.55000000000000004">
      <c r="A4" s="67" t="s">
        <v>74</v>
      </c>
      <c r="B4" s="16"/>
      <c r="D4" s="71">
        <v>0</v>
      </c>
      <c r="E4" s="68">
        <v>1</v>
      </c>
      <c r="F4" s="69">
        <v>0</v>
      </c>
      <c r="G4" s="68">
        <v>0</v>
      </c>
      <c r="H4" s="69">
        <f>SQRT(3)</f>
        <v>1.7320508075688772</v>
      </c>
    </row>
    <row r="5" spans="1:8" x14ac:dyDescent="0.55000000000000004">
      <c r="A5" s="82" t="s">
        <v>96</v>
      </c>
      <c r="B5" s="13"/>
      <c r="D5" s="4">
        <f>D4+0.5</f>
        <v>0.5</v>
      </c>
      <c r="E5" s="46"/>
      <c r="F5" s="47"/>
      <c r="G5" s="46"/>
      <c r="H5" s="47"/>
    </row>
    <row r="6" spans="1:8" x14ac:dyDescent="0.55000000000000004">
      <c r="A6" s="88" t="s">
        <v>97</v>
      </c>
      <c r="B6" s="14"/>
      <c r="D6" s="8">
        <f t="shared" ref="D6:D23" si="0">D5+0.5</f>
        <v>1</v>
      </c>
      <c r="E6" s="48"/>
      <c r="F6" s="49"/>
      <c r="G6" s="48"/>
      <c r="H6" s="49"/>
    </row>
    <row r="7" spans="1:8" x14ac:dyDescent="0.55000000000000004">
      <c r="A7" s="88" t="s">
        <v>123</v>
      </c>
      <c r="B7" s="14"/>
      <c r="D7" s="8">
        <f t="shared" si="0"/>
        <v>1.5</v>
      </c>
      <c r="E7" s="48"/>
      <c r="F7" s="49"/>
      <c r="G7" s="48"/>
      <c r="H7" s="49"/>
    </row>
    <row r="8" spans="1:8" x14ac:dyDescent="0.55000000000000004">
      <c r="A8" s="72" t="s">
        <v>124</v>
      </c>
      <c r="B8" s="15"/>
      <c r="D8" s="8">
        <f t="shared" si="0"/>
        <v>2</v>
      </c>
      <c r="E8" s="48"/>
      <c r="F8" s="49"/>
      <c r="G8" s="48"/>
      <c r="H8" s="49"/>
    </row>
    <row r="9" spans="1:8" x14ac:dyDescent="0.55000000000000004">
      <c r="A9" s="82" t="s">
        <v>98</v>
      </c>
      <c r="B9" s="4">
        <f>B7</f>
        <v>0</v>
      </c>
      <c r="D9" s="8">
        <f t="shared" si="0"/>
        <v>2.5</v>
      </c>
      <c r="E9" s="48"/>
      <c r="F9" s="49"/>
      <c r="G9" s="48"/>
      <c r="H9" s="49"/>
    </row>
    <row r="10" spans="1:8" x14ac:dyDescent="0.55000000000000004">
      <c r="A10" s="88" t="s">
        <v>99</v>
      </c>
      <c r="B10" s="8">
        <f>B8</f>
        <v>0</v>
      </c>
      <c r="D10" s="8">
        <f t="shared" si="0"/>
        <v>3</v>
      </c>
      <c r="E10" s="48"/>
      <c r="F10" s="49"/>
      <c r="G10" s="48"/>
      <c r="H10" s="49"/>
    </row>
    <row r="11" spans="1:8" x14ac:dyDescent="0.55000000000000004">
      <c r="A11" s="88" t="s">
        <v>125</v>
      </c>
      <c r="B11" s="8" t="e">
        <f>-B5*(B5^2+B6^2)^(-3/2)</f>
        <v>#DIV/0!</v>
      </c>
      <c r="D11" s="8">
        <f t="shared" si="0"/>
        <v>3.5</v>
      </c>
      <c r="E11" s="48"/>
      <c r="F11" s="49"/>
      <c r="G11" s="48"/>
      <c r="H11" s="49"/>
    </row>
    <row r="12" spans="1:8" x14ac:dyDescent="0.55000000000000004">
      <c r="A12" s="72" t="s">
        <v>126</v>
      </c>
      <c r="B12" s="12" t="e">
        <f>-B6*(B5^2+B6^2)^(-3/2)</f>
        <v>#DIV/0!</v>
      </c>
      <c r="D12" s="8">
        <f t="shared" si="0"/>
        <v>4</v>
      </c>
      <c r="E12" s="48"/>
      <c r="F12" s="49"/>
      <c r="G12" s="48"/>
      <c r="H12" s="49"/>
    </row>
    <row r="13" spans="1:8" x14ac:dyDescent="0.55000000000000004">
      <c r="D13" s="8">
        <f t="shared" si="0"/>
        <v>4.5</v>
      </c>
      <c r="E13" s="48"/>
      <c r="F13" s="49"/>
      <c r="G13" s="48"/>
      <c r="H13" s="49"/>
    </row>
    <row r="14" spans="1:8" x14ac:dyDescent="0.55000000000000004">
      <c r="A14" s="85">
        <v>4</v>
      </c>
      <c r="D14" s="12">
        <f t="shared" si="0"/>
        <v>5</v>
      </c>
      <c r="E14" s="50"/>
      <c r="F14" s="51"/>
      <c r="G14" s="50"/>
      <c r="H14" s="51"/>
    </row>
    <row r="15" spans="1:8" x14ac:dyDescent="0.55000000000000004">
      <c r="A15" s="86" t="s">
        <v>68</v>
      </c>
      <c r="D15" s="4">
        <f t="shared" si="0"/>
        <v>5.5</v>
      </c>
      <c r="E15" s="46"/>
      <c r="F15" s="47"/>
      <c r="G15" s="46"/>
      <c r="H15" s="47"/>
    </row>
    <row r="16" spans="1:8" x14ac:dyDescent="0.55000000000000004">
      <c r="A16" s="86" t="s">
        <v>131</v>
      </c>
      <c r="D16" s="8">
        <f t="shared" si="0"/>
        <v>6</v>
      </c>
      <c r="E16" s="48"/>
      <c r="F16" s="49"/>
      <c r="G16" s="48"/>
      <c r="H16" s="49"/>
    </row>
    <row r="17" spans="1:8" x14ac:dyDescent="0.55000000000000004">
      <c r="A17" s="86" t="s">
        <v>132</v>
      </c>
      <c r="D17" s="8">
        <f t="shared" si="0"/>
        <v>6.5</v>
      </c>
      <c r="E17" s="48"/>
      <c r="F17" s="49"/>
      <c r="G17" s="48"/>
      <c r="H17" s="49"/>
    </row>
    <row r="18" spans="1:8" x14ac:dyDescent="0.55000000000000004">
      <c r="A18" s="86" t="s">
        <v>122</v>
      </c>
      <c r="D18" s="8">
        <f t="shared" si="0"/>
        <v>7</v>
      </c>
      <c r="E18" s="48"/>
      <c r="F18" s="49"/>
      <c r="G18" s="48"/>
      <c r="H18" s="49"/>
    </row>
    <row r="19" spans="1:8" x14ac:dyDescent="0.55000000000000004">
      <c r="A19" s="86">
        <v>1E-8</v>
      </c>
      <c r="D19" s="8">
        <f t="shared" si="0"/>
        <v>7.5</v>
      </c>
      <c r="E19" s="48"/>
      <c r="F19" s="49"/>
      <c r="G19" s="48"/>
      <c r="H19" s="49"/>
    </row>
    <row r="20" spans="1:8" x14ac:dyDescent="0.55000000000000004">
      <c r="A20" s="87">
        <v>1</v>
      </c>
      <c r="D20" s="8">
        <f t="shared" si="0"/>
        <v>8</v>
      </c>
      <c r="E20" s="48"/>
      <c r="F20" s="49"/>
      <c r="G20" s="48"/>
      <c r="H20" s="49"/>
    </row>
    <row r="21" spans="1:8" x14ac:dyDescent="0.55000000000000004">
      <c r="D21" s="8">
        <f t="shared" si="0"/>
        <v>8.5</v>
      </c>
      <c r="E21" s="48"/>
      <c r="F21" s="49"/>
      <c r="G21" s="48"/>
      <c r="H21" s="49"/>
    </row>
    <row r="22" spans="1:8" x14ac:dyDescent="0.55000000000000004">
      <c r="D22" s="8">
        <f t="shared" si="0"/>
        <v>9</v>
      </c>
      <c r="E22" s="48"/>
      <c r="F22" s="49"/>
      <c r="G22" s="48"/>
      <c r="H22" s="49"/>
    </row>
    <row r="23" spans="1:8" x14ac:dyDescent="0.55000000000000004">
      <c r="D23" s="12">
        <f t="shared" si="0"/>
        <v>9.5</v>
      </c>
      <c r="E23" s="50"/>
      <c r="F23" s="51"/>
      <c r="G23" s="50"/>
      <c r="H23" s="51"/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30533E-7752-4785-B2F0-8EBD4FBC8F35}">
  <sheetPr codeName="Sheet31"/>
  <dimension ref="A1:F24"/>
  <sheetViews>
    <sheetView workbookViewId="0"/>
  </sheetViews>
  <sheetFormatPr defaultRowHeight="18" x14ac:dyDescent="0.55000000000000004"/>
  <cols>
    <col min="2" max="5" width="12.58203125" customWidth="1"/>
  </cols>
  <sheetData>
    <row r="1" spans="1:6" x14ac:dyDescent="0.55000000000000004">
      <c r="A1" t="s">
        <v>118</v>
      </c>
      <c r="B1" s="76"/>
      <c r="C1" s="76"/>
    </row>
    <row r="2" spans="1:6" x14ac:dyDescent="0.55000000000000004">
      <c r="B2" s="76"/>
      <c r="C2" s="76"/>
    </row>
    <row r="3" spans="1:6" x14ac:dyDescent="0.55000000000000004">
      <c r="B3" s="76"/>
      <c r="C3" s="76"/>
    </row>
    <row r="4" spans="1:6" x14ac:dyDescent="0.55000000000000004">
      <c r="A4" s="62" t="s">
        <v>70</v>
      </c>
      <c r="B4" s="78" t="s">
        <v>107</v>
      </c>
      <c r="C4" s="81" t="s">
        <v>109</v>
      </c>
      <c r="D4" s="78" t="s">
        <v>111</v>
      </c>
      <c r="E4" s="81" t="s">
        <v>113</v>
      </c>
      <c r="F4" s="62" t="s">
        <v>62</v>
      </c>
    </row>
    <row r="5" spans="1:6" x14ac:dyDescent="0.55000000000000004">
      <c r="A5" s="71">
        <v>0</v>
      </c>
      <c r="B5" s="68">
        <v>1</v>
      </c>
      <c r="C5" s="69">
        <v>0</v>
      </c>
      <c r="D5" s="68">
        <v>0</v>
      </c>
      <c r="E5" s="69">
        <f>SQRT(3)</f>
        <v>1.7320508075688772</v>
      </c>
      <c r="F5" s="20"/>
    </row>
    <row r="6" spans="1:6" x14ac:dyDescent="0.55000000000000004">
      <c r="A6" s="4">
        <f>A5+0.5</f>
        <v>0.5</v>
      </c>
      <c r="B6" s="46"/>
      <c r="C6" s="47"/>
      <c r="D6" s="46"/>
      <c r="E6" s="47"/>
      <c r="F6" s="13"/>
    </row>
    <row r="7" spans="1:6" x14ac:dyDescent="0.55000000000000004">
      <c r="A7" s="8">
        <f t="shared" ref="A7:A24" si="0">A6+0.5</f>
        <v>1</v>
      </c>
      <c r="B7" s="48"/>
      <c r="C7" s="49"/>
      <c r="D7" s="48"/>
      <c r="E7" s="49"/>
      <c r="F7" s="14"/>
    </row>
    <row r="8" spans="1:6" x14ac:dyDescent="0.55000000000000004">
      <c r="A8" s="8">
        <f t="shared" si="0"/>
        <v>1.5</v>
      </c>
      <c r="B8" s="48"/>
      <c r="C8" s="49"/>
      <c r="D8" s="48"/>
      <c r="E8" s="49"/>
      <c r="F8" s="14"/>
    </row>
    <row r="9" spans="1:6" x14ac:dyDescent="0.55000000000000004">
      <c r="A9" s="8">
        <f t="shared" si="0"/>
        <v>2</v>
      </c>
      <c r="B9" s="48"/>
      <c r="C9" s="49"/>
      <c r="D9" s="48"/>
      <c r="E9" s="49"/>
      <c r="F9" s="14"/>
    </row>
    <row r="10" spans="1:6" x14ac:dyDescent="0.55000000000000004">
      <c r="A10" s="8">
        <f t="shared" si="0"/>
        <v>2.5</v>
      </c>
      <c r="B10" s="48"/>
      <c r="C10" s="49"/>
      <c r="D10" s="48"/>
      <c r="E10" s="49"/>
      <c r="F10" s="14"/>
    </row>
    <row r="11" spans="1:6" x14ac:dyDescent="0.55000000000000004">
      <c r="A11" s="8">
        <f t="shared" si="0"/>
        <v>3</v>
      </c>
      <c r="B11" s="48"/>
      <c r="C11" s="49"/>
      <c r="D11" s="48"/>
      <c r="E11" s="49"/>
      <c r="F11" s="14"/>
    </row>
    <row r="12" spans="1:6" x14ac:dyDescent="0.55000000000000004">
      <c r="A12" s="8">
        <f t="shared" si="0"/>
        <v>3.5</v>
      </c>
      <c r="B12" s="48"/>
      <c r="C12" s="49"/>
      <c r="D12" s="48"/>
      <c r="E12" s="49"/>
      <c r="F12" s="14"/>
    </row>
    <row r="13" spans="1:6" x14ac:dyDescent="0.55000000000000004">
      <c r="A13" s="8">
        <f t="shared" si="0"/>
        <v>4</v>
      </c>
      <c r="B13" s="48"/>
      <c r="C13" s="49"/>
      <c r="D13" s="48"/>
      <c r="E13" s="49"/>
      <c r="F13" s="14"/>
    </row>
    <row r="14" spans="1:6" x14ac:dyDescent="0.55000000000000004">
      <c r="A14" s="8">
        <f t="shared" si="0"/>
        <v>4.5</v>
      </c>
      <c r="B14" s="48"/>
      <c r="C14" s="49"/>
      <c r="D14" s="48"/>
      <c r="E14" s="49"/>
      <c r="F14" s="14"/>
    </row>
    <row r="15" spans="1:6" x14ac:dyDescent="0.55000000000000004">
      <c r="A15" s="12">
        <f t="shared" si="0"/>
        <v>5</v>
      </c>
      <c r="B15" s="50"/>
      <c r="C15" s="51"/>
      <c r="D15" s="50"/>
      <c r="E15" s="51"/>
      <c r="F15" s="15"/>
    </row>
    <row r="16" spans="1:6" x14ac:dyDescent="0.55000000000000004">
      <c r="A16" s="4">
        <f t="shared" si="0"/>
        <v>5.5</v>
      </c>
      <c r="B16" s="46"/>
      <c r="C16" s="47"/>
      <c r="D16" s="46"/>
      <c r="E16" s="47"/>
      <c r="F16" s="13"/>
    </row>
    <row r="17" spans="1:6" x14ac:dyDescent="0.55000000000000004">
      <c r="A17" s="8">
        <f t="shared" si="0"/>
        <v>6</v>
      </c>
      <c r="B17" s="48"/>
      <c r="C17" s="49"/>
      <c r="D17" s="48"/>
      <c r="E17" s="49"/>
      <c r="F17" s="14"/>
    </row>
    <row r="18" spans="1:6" x14ac:dyDescent="0.55000000000000004">
      <c r="A18" s="8">
        <f t="shared" si="0"/>
        <v>6.5</v>
      </c>
      <c r="B18" s="48"/>
      <c r="C18" s="49"/>
      <c r="D18" s="48"/>
      <c r="E18" s="49"/>
      <c r="F18" s="14"/>
    </row>
    <row r="19" spans="1:6" x14ac:dyDescent="0.55000000000000004">
      <c r="A19" s="8">
        <f t="shared" si="0"/>
        <v>7</v>
      </c>
      <c r="B19" s="48"/>
      <c r="C19" s="49"/>
      <c r="D19" s="48"/>
      <c r="E19" s="49"/>
      <c r="F19" s="14"/>
    </row>
    <row r="20" spans="1:6" x14ac:dyDescent="0.55000000000000004">
      <c r="A20" s="8">
        <f t="shared" si="0"/>
        <v>7.5</v>
      </c>
      <c r="B20" s="48"/>
      <c r="C20" s="49"/>
      <c r="D20" s="48"/>
      <c r="E20" s="49"/>
      <c r="F20" s="14"/>
    </row>
    <row r="21" spans="1:6" x14ac:dyDescent="0.55000000000000004">
      <c r="A21" s="8">
        <f t="shared" si="0"/>
        <v>8</v>
      </c>
      <c r="B21" s="48"/>
      <c r="C21" s="49"/>
      <c r="D21" s="48"/>
      <c r="E21" s="49"/>
      <c r="F21" s="14"/>
    </row>
    <row r="22" spans="1:6" x14ac:dyDescent="0.55000000000000004">
      <c r="A22" s="8">
        <f t="shared" si="0"/>
        <v>8.5</v>
      </c>
      <c r="B22" s="48"/>
      <c r="C22" s="49"/>
      <c r="D22" s="48"/>
      <c r="E22" s="49"/>
      <c r="F22" s="14"/>
    </row>
    <row r="23" spans="1:6" x14ac:dyDescent="0.55000000000000004">
      <c r="A23" s="8">
        <f t="shared" si="0"/>
        <v>9</v>
      </c>
      <c r="B23" s="48"/>
      <c r="C23" s="49"/>
      <c r="D23" s="48"/>
      <c r="E23" s="49"/>
      <c r="F23" s="14"/>
    </row>
    <row r="24" spans="1:6" x14ac:dyDescent="0.55000000000000004">
      <c r="A24" s="12">
        <f t="shared" si="0"/>
        <v>9.5</v>
      </c>
      <c r="B24" s="50"/>
      <c r="C24" s="51"/>
      <c r="D24" s="50"/>
      <c r="E24" s="51"/>
      <c r="F24" s="15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Button 1">
              <controlPr defaultSize="0" print="0" autoFill="0" autoPict="0" macro="[0]!Start_3">
                <anchor moveWithCells="1" sizeWithCells="1">
                  <from>
                    <xdr:col>2</xdr:col>
                    <xdr:colOff>12700</xdr:colOff>
                    <xdr:row>1</xdr:row>
                    <xdr:rowOff>12700</xdr:rowOff>
                  </from>
                  <to>
                    <xdr:col>2</xdr:col>
                    <xdr:colOff>685800</xdr:colOff>
                    <xdr:row>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4" name="Button 4">
              <controlPr defaultSize="0" print="0" autoFill="0" autoPict="0" macro="[0]!Clear_3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3</xdr:col>
                    <xdr:colOff>660400</xdr:colOff>
                    <xdr:row>2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AEE23-225A-411E-B807-C186BEF2729E}">
  <sheetPr codeName="Sheet30"/>
  <dimension ref="A1:H23"/>
  <sheetViews>
    <sheetView workbookViewId="0"/>
  </sheetViews>
  <sheetFormatPr defaultRowHeight="18" x14ac:dyDescent="0.55000000000000004"/>
  <cols>
    <col min="5" max="8" width="12.58203125" customWidth="1"/>
  </cols>
  <sheetData>
    <row r="1" spans="1:8" x14ac:dyDescent="0.55000000000000004">
      <c r="A1" t="s">
        <v>121</v>
      </c>
      <c r="B1" s="76"/>
      <c r="D1" s="76"/>
    </row>
    <row r="2" spans="1:8" x14ac:dyDescent="0.55000000000000004">
      <c r="B2" s="76"/>
      <c r="D2" s="76"/>
    </row>
    <row r="3" spans="1:8" x14ac:dyDescent="0.55000000000000004">
      <c r="A3" s="67" t="s">
        <v>73</v>
      </c>
      <c r="B3" s="20">
        <f>A10</f>
        <v>2</v>
      </c>
      <c r="D3" s="70" t="s">
        <v>70</v>
      </c>
      <c r="E3" s="83" t="s">
        <v>106</v>
      </c>
      <c r="F3" s="84" t="s">
        <v>108</v>
      </c>
      <c r="G3" s="83" t="s">
        <v>110</v>
      </c>
      <c r="H3" s="84" t="s">
        <v>112</v>
      </c>
    </row>
    <row r="4" spans="1:8" x14ac:dyDescent="0.55000000000000004">
      <c r="A4" s="67" t="s">
        <v>74</v>
      </c>
      <c r="B4" s="16"/>
      <c r="D4" s="71">
        <v>0</v>
      </c>
      <c r="E4" s="68">
        <v>1</v>
      </c>
      <c r="F4" s="69">
        <v>0</v>
      </c>
      <c r="G4" s="68">
        <v>0</v>
      </c>
      <c r="H4" s="69">
        <f>SQRT(3)</f>
        <v>1.7320508075688772</v>
      </c>
    </row>
    <row r="5" spans="1:8" x14ac:dyDescent="0.55000000000000004">
      <c r="A5" s="82" t="s">
        <v>96</v>
      </c>
      <c r="B5" s="13"/>
      <c r="D5" s="4">
        <f>D4+0.5</f>
        <v>0.5</v>
      </c>
      <c r="E5" s="46"/>
      <c r="F5" s="47"/>
      <c r="G5" s="46"/>
      <c r="H5" s="47"/>
    </row>
    <row r="6" spans="1:8" x14ac:dyDescent="0.55000000000000004">
      <c r="A6" s="72" t="s">
        <v>97</v>
      </c>
      <c r="B6" s="15"/>
      <c r="D6" s="8">
        <f t="shared" ref="D6:D23" si="0">D5+0.5</f>
        <v>1</v>
      </c>
      <c r="E6" s="48"/>
      <c r="F6" s="49"/>
      <c r="G6" s="48"/>
      <c r="H6" s="49"/>
    </row>
    <row r="7" spans="1:8" x14ac:dyDescent="0.55000000000000004">
      <c r="A7" s="82" t="s">
        <v>98</v>
      </c>
      <c r="B7" s="4" t="e">
        <f>-B5*(B5^2+B6^2)^(-3/2)</f>
        <v>#DIV/0!</v>
      </c>
      <c r="D7" s="8">
        <f t="shared" si="0"/>
        <v>1.5</v>
      </c>
      <c r="E7" s="48"/>
      <c r="F7" s="49"/>
      <c r="G7" s="48"/>
      <c r="H7" s="49"/>
    </row>
    <row r="8" spans="1:8" x14ac:dyDescent="0.55000000000000004">
      <c r="A8" s="72" t="s">
        <v>99</v>
      </c>
      <c r="B8" s="12" t="e">
        <f>-B6*(B5^2+B6^2)^(-3/2)</f>
        <v>#DIV/0!</v>
      </c>
      <c r="D8" s="8">
        <f t="shared" si="0"/>
        <v>2</v>
      </c>
      <c r="E8" s="48"/>
      <c r="F8" s="49"/>
      <c r="G8" s="48"/>
      <c r="H8" s="49"/>
    </row>
    <row r="9" spans="1:8" x14ac:dyDescent="0.55000000000000004">
      <c r="D9" s="8">
        <f t="shared" si="0"/>
        <v>2.5</v>
      </c>
      <c r="E9" s="48"/>
      <c r="F9" s="49"/>
      <c r="G9" s="48"/>
      <c r="H9" s="49"/>
    </row>
    <row r="10" spans="1:8" x14ac:dyDescent="0.55000000000000004">
      <c r="A10" s="85">
        <v>2</v>
      </c>
      <c r="D10" s="8">
        <f t="shared" si="0"/>
        <v>3</v>
      </c>
      <c r="E10" s="48"/>
      <c r="F10" s="49"/>
      <c r="G10" s="48"/>
      <c r="H10" s="49"/>
    </row>
    <row r="11" spans="1:8" x14ac:dyDescent="0.55000000000000004">
      <c r="A11" s="86" t="s">
        <v>68</v>
      </c>
      <c r="D11" s="8">
        <f t="shared" si="0"/>
        <v>3.5</v>
      </c>
      <c r="E11" s="48"/>
      <c r="F11" s="49"/>
      <c r="G11" s="48"/>
      <c r="H11" s="49"/>
    </row>
    <row r="12" spans="1:8" x14ac:dyDescent="0.55000000000000004">
      <c r="A12" s="86" t="s">
        <v>100</v>
      </c>
      <c r="D12" s="8">
        <f t="shared" si="0"/>
        <v>4</v>
      </c>
      <c r="E12" s="48"/>
      <c r="F12" s="49"/>
      <c r="G12" s="48"/>
      <c r="H12" s="49"/>
    </row>
    <row r="13" spans="1:8" x14ac:dyDescent="0.55000000000000004">
      <c r="A13" s="86" t="s">
        <v>101</v>
      </c>
      <c r="D13" s="8">
        <f t="shared" si="0"/>
        <v>4.5</v>
      </c>
      <c r="E13" s="48"/>
      <c r="F13" s="49"/>
      <c r="G13" s="48"/>
      <c r="H13" s="49"/>
    </row>
    <row r="14" spans="1:8" x14ac:dyDescent="0.55000000000000004">
      <c r="A14" s="86" t="s">
        <v>122</v>
      </c>
      <c r="D14" s="12">
        <f t="shared" si="0"/>
        <v>5</v>
      </c>
      <c r="E14" s="50"/>
      <c r="F14" s="51"/>
      <c r="G14" s="50"/>
      <c r="H14" s="51"/>
    </row>
    <row r="15" spans="1:8" x14ac:dyDescent="0.55000000000000004">
      <c r="A15" s="86">
        <v>1E-8</v>
      </c>
      <c r="D15" s="4">
        <f t="shared" si="0"/>
        <v>5.5</v>
      </c>
      <c r="E15" s="46"/>
      <c r="F15" s="47"/>
      <c r="G15" s="46"/>
      <c r="H15" s="47"/>
    </row>
    <row r="16" spans="1:8" x14ac:dyDescent="0.55000000000000004">
      <c r="A16" s="87">
        <v>1</v>
      </c>
      <c r="D16" s="8">
        <f t="shared" si="0"/>
        <v>6</v>
      </c>
      <c r="E16" s="48"/>
      <c r="F16" s="49"/>
      <c r="G16" s="48"/>
      <c r="H16" s="49"/>
    </row>
    <row r="17" spans="4:8" x14ac:dyDescent="0.55000000000000004">
      <c r="D17" s="8">
        <f t="shared" si="0"/>
        <v>6.5</v>
      </c>
      <c r="E17" s="48"/>
      <c r="F17" s="49"/>
      <c r="G17" s="48"/>
      <c r="H17" s="49"/>
    </row>
    <row r="18" spans="4:8" x14ac:dyDescent="0.55000000000000004">
      <c r="D18" s="8">
        <f t="shared" si="0"/>
        <v>7</v>
      </c>
      <c r="E18" s="48"/>
      <c r="F18" s="49"/>
      <c r="G18" s="48"/>
      <c r="H18" s="49"/>
    </row>
    <row r="19" spans="4:8" x14ac:dyDescent="0.55000000000000004">
      <c r="D19" s="8">
        <f t="shared" si="0"/>
        <v>7.5</v>
      </c>
      <c r="E19" s="48"/>
      <c r="F19" s="49"/>
      <c r="G19" s="48"/>
      <c r="H19" s="49"/>
    </row>
    <row r="20" spans="4:8" x14ac:dyDescent="0.55000000000000004">
      <c r="D20" s="8">
        <f t="shared" si="0"/>
        <v>8</v>
      </c>
      <c r="E20" s="48"/>
      <c r="F20" s="49"/>
      <c r="G20" s="48"/>
      <c r="H20" s="49"/>
    </row>
    <row r="21" spans="4:8" x14ac:dyDescent="0.55000000000000004">
      <c r="D21" s="8">
        <f t="shared" si="0"/>
        <v>8.5</v>
      </c>
      <c r="E21" s="48"/>
      <c r="F21" s="49"/>
      <c r="G21" s="48"/>
      <c r="H21" s="49"/>
    </row>
    <row r="22" spans="4:8" x14ac:dyDescent="0.55000000000000004">
      <c r="D22" s="8">
        <f t="shared" si="0"/>
        <v>9</v>
      </c>
      <c r="E22" s="48"/>
      <c r="F22" s="49"/>
      <c r="G22" s="48"/>
      <c r="H22" s="49"/>
    </row>
    <row r="23" spans="4:8" x14ac:dyDescent="0.55000000000000004">
      <c r="D23" s="12">
        <f t="shared" si="0"/>
        <v>9.5</v>
      </c>
      <c r="E23" s="50"/>
      <c r="F23" s="51"/>
      <c r="G23" s="50"/>
      <c r="H23" s="51"/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B7628-9F71-44A4-B10C-D37465F7CA00}">
  <sheetPr codeName="Sheet24"/>
  <dimension ref="A1:G1003"/>
  <sheetViews>
    <sheetView workbookViewId="0"/>
  </sheetViews>
  <sheetFormatPr defaultRowHeight="18" x14ac:dyDescent="0.55000000000000004"/>
  <cols>
    <col min="1" max="1" width="10.1640625" bestFit="1" customWidth="1"/>
    <col min="2" max="3" width="8.6640625" customWidth="1"/>
  </cols>
  <sheetData>
    <row r="1" spans="1:7" x14ac:dyDescent="0.55000000000000004">
      <c r="A1" t="s">
        <v>78</v>
      </c>
    </row>
    <row r="3" spans="1:7" x14ac:dyDescent="0.55000000000000004">
      <c r="A3" s="62" t="s">
        <v>70</v>
      </c>
      <c r="B3" s="62" t="s">
        <v>139</v>
      </c>
      <c r="C3" s="62" t="s">
        <v>79</v>
      </c>
      <c r="D3" s="62" t="s">
        <v>80</v>
      </c>
      <c r="F3" s="62" t="s">
        <v>81</v>
      </c>
      <c r="G3" s="62" t="s">
        <v>82</v>
      </c>
    </row>
    <row r="4" spans="1:7" x14ac:dyDescent="0.55000000000000004">
      <c r="A4" s="4">
        <v>0</v>
      </c>
      <c r="B4" s="4" cm="1">
        <f t="array" ref="B4">FAM(A4)</f>
        <v>0</v>
      </c>
      <c r="C4" s="13">
        <f t="array" ref="C4:C1003">_xll.WRfft1f(1000,B4:B1003)</f>
        <v>-3.2988812313726517E-15</v>
      </c>
      <c r="D4" s="13">
        <f t="array" ref="D4:D1003">_xll.WRfft1b(1000,C4:C1003)</f>
        <v>2.9517987552607262E-17</v>
      </c>
      <c r="F4" s="17">
        <v>0</v>
      </c>
      <c r="G4" s="13">
        <f t="array" ref="G4:G504">PsdR(1000,C4:C1003)</f>
        <v>1.0882617378702744E-26</v>
      </c>
    </row>
    <row r="5" spans="1:7" x14ac:dyDescent="0.55000000000000004">
      <c r="A5" s="8">
        <f>A4+0.00005</f>
        <v>5.0000000000000002E-5</v>
      </c>
      <c r="B5" s="8" cm="1">
        <f t="array" ref="B5">FAM(A5)</f>
        <v>0.36687546317322656</v>
      </c>
      <c r="C5" s="14">
        <v>-6.5940788227255092E-15</v>
      </c>
      <c r="D5" s="14">
        <v>0.366875463173227</v>
      </c>
      <c r="F5" s="18">
        <f>20000/1000+F4</f>
        <v>20</v>
      </c>
      <c r="G5" s="14">
        <v>2.1759856409369228E-26</v>
      </c>
    </row>
    <row r="6" spans="1:7" x14ac:dyDescent="0.55000000000000004">
      <c r="A6" s="8">
        <f t="shared" ref="A6:A69" si="0">A5+0.00005</f>
        <v>1E-4</v>
      </c>
      <c r="B6" s="8" cm="1">
        <f t="array" ref="B6">FAM(A6)</f>
        <v>0.5376247506187235</v>
      </c>
      <c r="C6" s="14">
        <v>1.9451811849136781E-16</v>
      </c>
      <c r="D6" s="14">
        <v>0.53762475061872383</v>
      </c>
      <c r="F6" s="18">
        <f t="shared" ref="F6:F69" si="1">20000/1000+F5</f>
        <v>40</v>
      </c>
      <c r="G6" s="14">
        <v>2.3027614148528185E-26</v>
      </c>
    </row>
    <row r="7" spans="1:7" x14ac:dyDescent="0.55000000000000004">
      <c r="A7" s="8">
        <f t="shared" si="0"/>
        <v>1.5000000000000001E-4</v>
      </c>
      <c r="B7" s="8" cm="1">
        <f t="array" ref="B7">FAM(A7)</f>
        <v>0.39336203553822768</v>
      </c>
      <c r="C7" s="14">
        <v>-6.7860721923695921E-15</v>
      </c>
      <c r="D7" s="14">
        <v>0.39336203553822802</v>
      </c>
      <c r="F7" s="18">
        <f t="shared" si="1"/>
        <v>60</v>
      </c>
      <c r="G7" s="14">
        <v>2.3182266064208416E-26</v>
      </c>
    </row>
    <row r="8" spans="1:7" x14ac:dyDescent="0.55000000000000004">
      <c r="A8" s="8">
        <f t="shared" si="0"/>
        <v>2.0000000000000001E-4</v>
      </c>
      <c r="B8" s="8" cm="1">
        <f t="array" ref="B8">FAM(A8)</f>
        <v>1.8572449837951215E-15</v>
      </c>
      <c r="C8" s="14">
        <v>6.6727033536093851E-17</v>
      </c>
      <c r="D8" s="14">
        <v>1.8281391224991594E-15</v>
      </c>
      <c r="F8" s="18">
        <f t="shared" si="1"/>
        <v>80</v>
      </c>
      <c r="G8" s="14">
        <v>2.2267206423783528E-26</v>
      </c>
    </row>
    <row r="9" spans="1:7" x14ac:dyDescent="0.55000000000000004">
      <c r="A9" s="8">
        <f t="shared" si="0"/>
        <v>2.5000000000000001E-4</v>
      </c>
      <c r="B9" s="8" cm="1">
        <f t="array" ref="B9">FAM(A9)</f>
        <v>-0.41937816724640148</v>
      </c>
      <c r="C9" s="14">
        <v>-6.7901520528577296E-15</v>
      </c>
      <c r="D9" s="14">
        <v>-0.41937816724640165</v>
      </c>
      <c r="F9" s="18">
        <f t="shared" si="1"/>
        <v>100</v>
      </c>
      <c r="G9" s="14">
        <v>2.2254821844621814E-26</v>
      </c>
    </row>
    <row r="10" spans="1:7" x14ac:dyDescent="0.55000000000000004">
      <c r="A10" s="8">
        <f t="shared" si="0"/>
        <v>3.0000000000000003E-4</v>
      </c>
      <c r="B10" s="8" cm="1">
        <f t="array" ref="B10">FAM(A10)</f>
        <v>-0.61110117345408044</v>
      </c>
      <c r="C10" s="14">
        <v>5.082983646332065E-16</v>
      </c>
      <c r="D10" s="14">
        <v>-0.61110117345408066</v>
      </c>
      <c r="F10" s="18">
        <f t="shared" si="1"/>
        <v>120</v>
      </c>
      <c r="G10" s="14">
        <v>2.1076449416999689E-26</v>
      </c>
    </row>
    <row r="11" spans="1:7" x14ac:dyDescent="0.55000000000000004">
      <c r="A11" s="8">
        <f t="shared" si="0"/>
        <v>3.5000000000000005E-4</v>
      </c>
      <c r="B11" s="8" cm="1">
        <f t="array" ref="B11">FAM(A11)</f>
        <v>-0.44461778851647099</v>
      </c>
      <c r="C11" s="14">
        <v>-6.6239768803133874E-15</v>
      </c>
      <c r="D11" s="14">
        <v>-0.44461778851647138</v>
      </c>
      <c r="F11" s="18">
        <f t="shared" si="1"/>
        <v>140</v>
      </c>
      <c r="G11" s="14">
        <v>2.3529780710389223E-26</v>
      </c>
    </row>
    <row r="12" spans="1:7" x14ac:dyDescent="0.55000000000000004">
      <c r="A12" s="8">
        <f t="shared" si="0"/>
        <v>4.0000000000000007E-4</v>
      </c>
      <c r="B12" s="8" cm="1">
        <f t="array" ref="B12">FAM(A12)</f>
        <v>-3.6012984032966748E-15</v>
      </c>
      <c r="C12" s="14">
        <v>8.1076700515054149E-16</v>
      </c>
      <c r="D12" s="14">
        <v>-3.5764336760347376E-15</v>
      </c>
      <c r="F12" s="18">
        <f t="shared" si="1"/>
        <v>160</v>
      </c>
      <c r="G12" s="14">
        <v>2.4811482819080468E-26</v>
      </c>
    </row>
    <row r="13" spans="1:7" x14ac:dyDescent="0.55000000000000004">
      <c r="A13" s="8">
        <f t="shared" si="0"/>
        <v>4.500000000000001E-4</v>
      </c>
      <c r="B13" s="8" cm="1">
        <f t="array" ref="B13">FAM(A13)</f>
        <v>0.46878604324170636</v>
      </c>
      <c r="C13" s="14">
        <v>-6.644926661924503E-15</v>
      </c>
      <c r="D13" s="14">
        <v>0.46878604324170675</v>
      </c>
      <c r="F13" s="18">
        <f t="shared" si="1"/>
        <v>180</v>
      </c>
      <c r="G13" s="14">
        <v>2.3692375979363837E-26</v>
      </c>
    </row>
    <row r="14" spans="1:7" x14ac:dyDescent="0.55000000000000004">
      <c r="A14" s="8">
        <f t="shared" si="0"/>
        <v>5.0000000000000012E-4</v>
      </c>
      <c r="B14" s="8" cm="1">
        <f t="array" ref="B14">FAM(A14)</f>
        <v>0.67936044933348405</v>
      </c>
      <c r="C14" s="14">
        <v>5.9547741089692877E-16</v>
      </c>
      <c r="D14" s="14">
        <v>0.67936044933348427</v>
      </c>
      <c r="F14" s="18">
        <f t="shared" si="1"/>
        <v>200</v>
      </c>
      <c r="G14" s="14">
        <v>2.2613353043745616E-26</v>
      </c>
    </row>
    <row r="15" spans="1:7" x14ac:dyDescent="0.55000000000000004">
      <c r="A15" s="8">
        <f t="shared" si="0"/>
        <v>5.5000000000000014E-4</v>
      </c>
      <c r="B15" s="8" cm="1">
        <f t="array" ref="B15">FAM(A15)</f>
        <v>0.49160353181182814</v>
      </c>
      <c r="C15" s="14">
        <v>-6.4398829659910155E-15</v>
      </c>
      <c r="D15" s="14">
        <v>0.49160353181182842</v>
      </c>
      <c r="F15" s="18">
        <f t="shared" si="1"/>
        <v>220</v>
      </c>
      <c r="G15" s="14">
        <v>2.2938235168241315E-26</v>
      </c>
    </row>
    <row r="16" spans="1:7" x14ac:dyDescent="0.55000000000000004">
      <c r="A16" s="8">
        <f t="shared" si="0"/>
        <v>6.0000000000000016E-4</v>
      </c>
      <c r="B16" s="8" cm="1">
        <f t="array" ref="B16">FAM(A16)</f>
        <v>5.3096961576455699E-15</v>
      </c>
      <c r="C16" s="14">
        <v>8.2510982198622795E-16</v>
      </c>
      <c r="D16" s="14">
        <v>5.2854726907355731E-15</v>
      </c>
      <c r="F16" s="18">
        <f t="shared" si="1"/>
        <v>240</v>
      </c>
      <c r="G16" s="14">
        <v>2.3549424493460158E-26</v>
      </c>
    </row>
    <row r="17" spans="1:7" x14ac:dyDescent="0.55000000000000004">
      <c r="A17" s="8">
        <f t="shared" si="0"/>
        <v>6.5000000000000019E-4</v>
      </c>
      <c r="B17" s="8" cm="1">
        <f t="array" ref="B17">FAM(A17)</f>
        <v>-0.51281031585801273</v>
      </c>
      <c r="C17" s="14">
        <v>-6.8242013889430767E-15</v>
      </c>
      <c r="D17" s="14">
        <v>-0.51281031585801307</v>
      </c>
      <c r="F17" s="18">
        <f t="shared" si="1"/>
        <v>260</v>
      </c>
      <c r="G17" s="14">
        <v>2.4643514573500099E-26</v>
      </c>
    </row>
    <row r="18" spans="1:7" x14ac:dyDescent="0.55000000000000004">
      <c r="A18" s="8">
        <f t="shared" si="0"/>
        <v>7.0000000000000021E-4</v>
      </c>
      <c r="B18" s="8" cm="1">
        <f t="array" ref="B18">FAM(A18)</f>
        <v>-0.73925850686817229</v>
      </c>
      <c r="C18" s="14">
        <v>6.9988343595617901E-16</v>
      </c>
      <c r="D18" s="14">
        <v>-0.7392585068681724</v>
      </c>
      <c r="F18" s="18">
        <f t="shared" si="1"/>
        <v>280</v>
      </c>
      <c r="G18" s="14">
        <v>2.6469540110104175E-26</v>
      </c>
    </row>
    <row r="19" spans="1:7" x14ac:dyDescent="0.55000000000000004">
      <c r="A19" s="8">
        <f t="shared" si="0"/>
        <v>7.5000000000000023E-4</v>
      </c>
      <c r="B19" s="8" cm="1">
        <f t="array" ref="B19">FAM(A19)</f>
        <v>-0.53216962334883555</v>
      </c>
      <c r="C19" s="14">
        <v>-6.9479804893215138E-15</v>
      </c>
      <c r="D19" s="14">
        <v>-0.53216962334883566</v>
      </c>
      <c r="F19" s="18">
        <f t="shared" si="1"/>
        <v>300</v>
      </c>
      <c r="G19" s="14">
        <v>2.4538122123287298E-26</v>
      </c>
    </row>
    <row r="20" spans="1:7" x14ac:dyDescent="0.55000000000000004">
      <c r="A20" s="8">
        <f t="shared" si="0"/>
        <v>8.0000000000000026E-4</v>
      </c>
      <c r="B20" s="8" cm="1">
        <f t="array" ref="B20">FAM(A20)</f>
        <v>-7.1713341042980382E-15</v>
      </c>
      <c r="C20" s="14">
        <v>1.161263431857092E-15</v>
      </c>
      <c r="D20" s="14">
        <v>-7.1559648098483781E-15</v>
      </c>
      <c r="F20" s="18">
        <f t="shared" si="1"/>
        <v>320</v>
      </c>
      <c r="G20" s="14">
        <v>2.6199876224489903E-26</v>
      </c>
    </row>
    <row r="21" spans="1:7" x14ac:dyDescent="0.55000000000000004">
      <c r="A21" s="8">
        <f t="shared" si="0"/>
        <v>8.5000000000000028E-4</v>
      </c>
      <c r="B21" s="8" cm="1">
        <f t="array" ref="B21">FAM(A21)</f>
        <v>0.5494711971612638</v>
      </c>
      <c r="C21" s="14">
        <v>-6.7263768382808244E-15</v>
      </c>
      <c r="D21" s="14">
        <v>0.54947119716126414</v>
      </c>
      <c r="F21" s="18">
        <f t="shared" si="1"/>
        <v>340</v>
      </c>
      <c r="G21" s="14">
        <v>1.5422562989212892E-26</v>
      </c>
    </row>
    <row r="22" spans="1:7" x14ac:dyDescent="0.55000000000000004">
      <c r="A22" s="8">
        <f t="shared" si="0"/>
        <v>9.000000000000003E-4</v>
      </c>
      <c r="B22" s="8" cm="1">
        <f t="array" ref="B22">FAM(A22)</f>
        <v>0.78813076948900307</v>
      </c>
      <c r="C22" s="14">
        <v>1.4630811967101921E-15</v>
      </c>
      <c r="D22" s="14">
        <v>0.78813076948900307</v>
      </c>
      <c r="F22" s="18">
        <f t="shared" si="1"/>
        <v>360</v>
      </c>
      <c r="G22" s="14">
        <v>2.8154711116410124E-26</v>
      </c>
    </row>
    <row r="23" spans="1:7" x14ac:dyDescent="0.55000000000000004">
      <c r="A23" s="8">
        <f t="shared" si="0"/>
        <v>9.5000000000000032E-4</v>
      </c>
      <c r="B23" s="8" cm="1">
        <f t="array" ref="B23">FAM(A23)</f>
        <v>0.56453423583945206</v>
      </c>
      <c r="C23" s="14">
        <v>-6.5424204114168796E-15</v>
      </c>
      <c r="D23" s="14">
        <v>0.56453423583945228</v>
      </c>
      <c r="F23" s="18">
        <f t="shared" si="1"/>
        <v>380</v>
      </c>
      <c r="G23" s="14">
        <v>2.5372153434036408E-26</v>
      </c>
    </row>
    <row r="24" spans="1:7" x14ac:dyDescent="0.55000000000000004">
      <c r="A24" s="8">
        <f t="shared" si="0"/>
        <v>1.0000000000000002E-3</v>
      </c>
      <c r="B24" s="8" cm="1">
        <f t="array" ref="B24">FAM(A24)</f>
        <v>1.0538809342856795E-14</v>
      </c>
      <c r="C24" s="14">
        <v>1.5567405846084377E-15</v>
      </c>
      <c r="D24" s="14">
        <v>1.0523642406848641E-14</v>
      </c>
      <c r="F24" s="18">
        <f t="shared" si="1"/>
        <v>400</v>
      </c>
      <c r="G24" s="14">
        <v>2.7817273666099233E-26</v>
      </c>
    </row>
    <row r="25" spans="1:7" x14ac:dyDescent="0.55000000000000004">
      <c r="A25" s="8">
        <f t="shared" si="0"/>
        <v>1.0500000000000002E-3</v>
      </c>
      <c r="B25" s="8" cm="1">
        <f t="array" ref="B25">FAM(A25)</f>
        <v>-0.57720988164371445</v>
      </c>
      <c r="C25" s="14">
        <v>-6.5649267927584326E-15</v>
      </c>
      <c r="D25" s="14">
        <v>-0.57720988164371456</v>
      </c>
      <c r="F25" s="18">
        <f t="shared" si="1"/>
        <v>420</v>
      </c>
      <c r="G25" s="14">
        <v>3.0326688455231404E-26</v>
      </c>
    </row>
    <row r="26" spans="1:7" x14ac:dyDescent="0.55000000000000004">
      <c r="A26" s="8">
        <f t="shared" si="0"/>
        <v>1.1000000000000001E-3</v>
      </c>
      <c r="B26" s="8" cm="1">
        <f t="array" ref="B26">FAM(A26)</f>
        <v>-0.82394224809547556</v>
      </c>
      <c r="C26" s="14">
        <v>1.6667952910315978E-15</v>
      </c>
      <c r="D26" s="14">
        <v>-0.82394224809547556</v>
      </c>
      <c r="F26" s="18">
        <f t="shared" si="1"/>
        <v>440</v>
      </c>
      <c r="G26" s="14">
        <v>2.6973307836002775E-26</v>
      </c>
    </row>
    <row r="27" spans="1:7" x14ac:dyDescent="0.55000000000000004">
      <c r="A27" s="8">
        <f t="shared" si="0"/>
        <v>1.15E-3</v>
      </c>
      <c r="B27" s="8" cm="1">
        <f t="array" ref="B27">FAM(A27)</f>
        <v>-0.58738321808604754</v>
      </c>
      <c r="C27" s="14">
        <v>-6.7171501958359857E-15</v>
      </c>
      <c r="D27" s="14">
        <v>-0.58738321808604765</v>
      </c>
      <c r="F27" s="18">
        <f t="shared" si="1"/>
        <v>460</v>
      </c>
      <c r="G27" s="14">
        <v>2.7740594102451184E-26</v>
      </c>
    </row>
    <row r="28" spans="1:7" x14ac:dyDescent="0.55000000000000004">
      <c r="A28" s="8">
        <f t="shared" si="0"/>
        <v>1.1999999999999999E-3</v>
      </c>
      <c r="B28" s="8" cm="1">
        <f t="array" ref="B28">FAM(A28)</f>
        <v>-1.8446045807708763E-14</v>
      </c>
      <c r="C28" s="14">
        <v>1.4066777290839929E-15</v>
      </c>
      <c r="D28" s="14">
        <v>-1.8443027716860787E-14</v>
      </c>
      <c r="F28" s="18">
        <f t="shared" si="1"/>
        <v>480</v>
      </c>
      <c r="G28" s="14">
        <v>3.1365504750431917E-26</v>
      </c>
    </row>
    <row r="29" spans="1:7" x14ac:dyDescent="0.55000000000000004">
      <c r="A29" s="8">
        <f t="shared" si="0"/>
        <v>1.2499999999999998E-3</v>
      </c>
      <c r="B29" s="8" cm="1">
        <f t="array" ref="B29">FAM(A29)</f>
        <v>0.5949747468305685</v>
      </c>
      <c r="C29" s="14">
        <v>-6.6936569675878303E-15</v>
      </c>
      <c r="D29" s="14">
        <v>0.59497474683056883</v>
      </c>
      <c r="F29" s="38">
        <f t="shared" si="1"/>
        <v>500</v>
      </c>
      <c r="G29" s="14">
        <v>2.9312274759829766E-26</v>
      </c>
    </row>
    <row r="30" spans="1:7" x14ac:dyDescent="0.55000000000000004">
      <c r="A30" s="8">
        <f t="shared" si="0"/>
        <v>1.2999999999999997E-3</v>
      </c>
      <c r="B30" s="8" cm="1">
        <f t="array" ref="B30">FAM(A30)</f>
        <v>0.84539907116993651</v>
      </c>
      <c r="C30" s="14">
        <v>2.1170700383461786E-15</v>
      </c>
      <c r="D30" s="14">
        <v>0.84539907116993651</v>
      </c>
      <c r="E30" s="73"/>
      <c r="F30" s="18">
        <f t="shared" si="1"/>
        <v>520</v>
      </c>
      <c r="G30" s="14">
        <v>2.8371226199929755E-26</v>
      </c>
    </row>
    <row r="31" spans="1:7" x14ac:dyDescent="0.55000000000000004">
      <c r="A31" s="8">
        <f t="shared" si="0"/>
        <v>1.3499999999999996E-3</v>
      </c>
      <c r="B31" s="8" cm="1">
        <f t="array" ref="B31">FAM(A31)</f>
        <v>0.59994132199191486</v>
      </c>
      <c r="C31" s="14">
        <v>-6.9516956629808053E-15</v>
      </c>
      <c r="D31" s="14">
        <v>0.59994132199191519</v>
      </c>
      <c r="E31" s="73"/>
      <c r="F31" s="18">
        <f t="shared" si="1"/>
        <v>540</v>
      </c>
      <c r="G31" s="14">
        <v>2.9857320100426152E-26</v>
      </c>
    </row>
    <row r="32" spans="1:7" x14ac:dyDescent="0.55000000000000004">
      <c r="A32" s="8">
        <f t="shared" si="0"/>
        <v>1.3999999999999996E-3</v>
      </c>
      <c r="B32" s="8" cm="1">
        <f t="array" ref="B32">FAM(A32)</f>
        <v>2.490351697002216E-14</v>
      </c>
      <c r="C32" s="14">
        <v>2.1477913375144727E-15</v>
      </c>
      <c r="D32" s="14">
        <v>2.4899328924879554E-14</v>
      </c>
      <c r="E32" s="73"/>
      <c r="F32" s="18">
        <f t="shared" si="1"/>
        <v>560</v>
      </c>
      <c r="G32" s="14">
        <v>3.2466888277693688E-26</v>
      </c>
    </row>
    <row r="33" spans="1:7" x14ac:dyDescent="0.55000000000000004">
      <c r="A33" s="8">
        <f t="shared" si="0"/>
        <v>1.4499999999999995E-3</v>
      </c>
      <c r="B33" s="8" cm="1">
        <f t="array" ref="B33">FAM(A33)</f>
        <v>-0.6022765283565642</v>
      </c>
      <c r="C33" s="14">
        <v>-6.5156225810710123E-15</v>
      </c>
      <c r="D33" s="14">
        <v>-0.60227652835656453</v>
      </c>
      <c r="E33" s="73"/>
      <c r="F33" s="18">
        <f t="shared" si="1"/>
        <v>580</v>
      </c>
      <c r="G33" s="14">
        <v>3.2884613073129953E-26</v>
      </c>
    </row>
    <row r="34" spans="1:7" x14ac:dyDescent="0.55000000000000004">
      <c r="A34" s="8">
        <f t="shared" si="0"/>
        <v>1.4999999999999994E-3</v>
      </c>
      <c r="B34" s="8" cm="1">
        <f t="array" ref="B34">FAM(A34)</f>
        <v>-0.8520147021340202</v>
      </c>
      <c r="C34" s="14">
        <v>2.5735008505170766E-15</v>
      </c>
      <c r="D34" s="14">
        <v>-0.8520147021340202</v>
      </c>
      <c r="E34" s="73"/>
      <c r="F34" s="18">
        <f t="shared" si="1"/>
        <v>600</v>
      </c>
      <c r="G34" s="14">
        <v>3.2246177215671876E-26</v>
      </c>
    </row>
    <row r="35" spans="1:7" x14ac:dyDescent="0.55000000000000004">
      <c r="A35" s="8">
        <f t="shared" si="0"/>
        <v>1.5499999999999993E-3</v>
      </c>
      <c r="B35" s="8" cm="1">
        <f t="array" ref="B35">FAM(A35)</f>
        <v>-0.60201049875661383</v>
      </c>
      <c r="C35" s="14">
        <v>-6.5218454391465323E-15</v>
      </c>
      <c r="D35" s="14">
        <v>-0.60201049875661417</v>
      </c>
      <c r="E35" s="73"/>
      <c r="F35" s="18">
        <f t="shared" si="1"/>
        <v>620</v>
      </c>
      <c r="G35" s="14">
        <v>2.9706214408923734E-26</v>
      </c>
    </row>
    <row r="36" spans="1:7" x14ac:dyDescent="0.55000000000000004">
      <c r="A36" s="8">
        <f t="shared" si="0"/>
        <v>1.5999999999999992E-3</v>
      </c>
      <c r="B36" s="8" cm="1">
        <f t="array" ref="B36">FAM(A36)</f>
        <v>-3.1024656273996495E-14</v>
      </c>
      <c r="C36" s="14">
        <v>3.1409050474128286E-15</v>
      </c>
      <c r="D36" s="14">
        <v>-3.1034211741265482E-14</v>
      </c>
      <c r="E36" s="73"/>
      <c r="F36" s="18">
        <f t="shared" si="1"/>
        <v>640</v>
      </c>
      <c r="G36" s="14">
        <v>3.5369333792096888E-26</v>
      </c>
    </row>
    <row r="37" spans="1:7" x14ac:dyDescent="0.55000000000000004">
      <c r="A37" s="8">
        <f t="shared" si="0"/>
        <v>1.6499999999999991E-3</v>
      </c>
      <c r="B37" s="8" cm="1">
        <f t="array" ref="B37">FAM(A37)</f>
        <v>0.59920917459421619</v>
      </c>
      <c r="C37" s="14">
        <v>-5.2796811475954719E-15</v>
      </c>
      <c r="D37" s="14">
        <v>0.59920917459421652</v>
      </c>
      <c r="E37" s="73"/>
      <c r="F37" s="18">
        <f t="shared" si="1"/>
        <v>660</v>
      </c>
      <c r="G37" s="14">
        <v>3.7149076057236953E-26</v>
      </c>
    </row>
    <row r="38" spans="1:7" x14ac:dyDescent="0.55000000000000004">
      <c r="A38" s="8">
        <f t="shared" si="0"/>
        <v>1.699999999999999E-3</v>
      </c>
      <c r="B38" s="8" cm="1">
        <f t="array" ref="B38">FAM(A38)</f>
        <v>0.84412692110917598</v>
      </c>
      <c r="C38" s="14">
        <v>1.723395763645352E-15</v>
      </c>
      <c r="D38" s="14">
        <v>0.84412692110917598</v>
      </c>
      <c r="E38" s="73"/>
      <c r="F38" s="18">
        <f t="shared" si="1"/>
        <v>680</v>
      </c>
      <c r="G38" s="14">
        <v>3.4727438449268773E-26</v>
      </c>
    </row>
    <row r="39" spans="1:7" x14ac:dyDescent="0.55000000000000004">
      <c r="A39" s="8">
        <f t="shared" si="0"/>
        <v>1.749999999999999E-3</v>
      </c>
      <c r="B39" s="8" cm="1">
        <f t="array" ref="B39">FAM(A39)</f>
        <v>0.5939730222238474</v>
      </c>
      <c r="C39" s="14">
        <v>-7.1904962136655458E-15</v>
      </c>
      <c r="D39" s="14">
        <v>0.59397302222384774</v>
      </c>
      <c r="E39" s="73"/>
      <c r="F39" s="18">
        <f t="shared" si="1"/>
        <v>700</v>
      </c>
      <c r="G39" s="14">
        <v>3.8358470053970275E-26</v>
      </c>
    </row>
    <row r="40" spans="1:7" x14ac:dyDescent="0.55000000000000004">
      <c r="A40" s="8">
        <f t="shared" si="0"/>
        <v>1.7999999999999989E-3</v>
      </c>
      <c r="B40" s="8" cm="1">
        <f t="array" ref="B40">FAM(A40)</f>
        <v>3.9488247392461895E-14</v>
      </c>
      <c r="C40" s="14">
        <v>2.1462027942582005E-15</v>
      </c>
      <c r="D40" s="14">
        <v>3.9494348224557338E-14</v>
      </c>
      <c r="E40" s="73"/>
      <c r="F40" s="18">
        <f t="shared" si="1"/>
        <v>720</v>
      </c>
      <c r="G40" s="14">
        <v>3.7083891846062295E-26</v>
      </c>
    </row>
    <row r="41" spans="1:7" x14ac:dyDescent="0.55000000000000004">
      <c r="A41" s="8">
        <f t="shared" si="0"/>
        <v>1.8499999999999988E-3</v>
      </c>
      <c r="B41" s="8" cm="1">
        <f t="array" ref="B41">FAM(A41)</f>
        <v>-0.58643522639492363</v>
      </c>
      <c r="C41" s="14">
        <v>-6.5823790442653185E-15</v>
      </c>
      <c r="D41" s="14">
        <v>-0.58643522639492385</v>
      </c>
      <c r="E41" s="73"/>
      <c r="F41" s="18">
        <f t="shared" si="1"/>
        <v>740</v>
      </c>
      <c r="G41" s="14">
        <v>3.6737984736457043E-26</v>
      </c>
    </row>
    <row r="42" spans="1:7" x14ac:dyDescent="0.55000000000000004">
      <c r="A42" s="8">
        <f t="shared" si="0"/>
        <v>1.8999999999999987E-3</v>
      </c>
      <c r="B42" s="8" cm="1">
        <f t="array" ref="B42">FAM(A42)</f>
        <v>-0.82286471836338848</v>
      </c>
      <c r="C42" s="14">
        <v>2.7233422454200659E-15</v>
      </c>
      <c r="D42" s="14">
        <v>-0.82286471836338859</v>
      </c>
      <c r="E42" s="73"/>
      <c r="F42" s="18">
        <f t="shared" si="1"/>
        <v>760</v>
      </c>
      <c r="G42" s="14">
        <v>4.2378585022663855E-26</v>
      </c>
    </row>
    <row r="43" spans="1:7" x14ac:dyDescent="0.55000000000000004">
      <c r="A43" s="8">
        <f t="shared" si="0"/>
        <v>1.9499999999999986E-3</v>
      </c>
      <c r="B43" s="8" cm="1">
        <f t="array" ref="B43">FAM(A43)</f>
        <v>-0.57675939012486988</v>
      </c>
      <c r="C43" s="14">
        <v>-6.8471975350235658E-15</v>
      </c>
      <c r="D43" s="14">
        <v>-0.5767593901248701</v>
      </c>
      <c r="E43" s="73"/>
      <c r="F43" s="18">
        <f t="shared" si="1"/>
        <v>780</v>
      </c>
      <c r="G43" s="14">
        <v>4.3422237799031491E-26</v>
      </c>
    </row>
    <row r="44" spans="1:7" x14ac:dyDescent="0.55000000000000004">
      <c r="A44" s="8">
        <f t="shared" si="0"/>
        <v>1.9999999999999987E-3</v>
      </c>
      <c r="B44" s="8" cm="1">
        <f t="array" ref="B44">FAM(A44)</f>
        <v>-4.1166006442594515E-14</v>
      </c>
      <c r="C44" s="14">
        <v>2.9581131230170471E-15</v>
      </c>
      <c r="D44" s="14">
        <v>-4.1185702341176488E-14</v>
      </c>
      <c r="E44" s="73"/>
      <c r="F44" s="18">
        <f t="shared" si="1"/>
        <v>800</v>
      </c>
      <c r="G44" s="14">
        <v>4.0051297002217875E-26</v>
      </c>
    </row>
    <row r="45" spans="1:7" x14ac:dyDescent="0.55000000000000004">
      <c r="A45" s="8">
        <f t="shared" si="0"/>
        <v>2.0499999999999989E-3</v>
      </c>
      <c r="B45" s="8" cm="1">
        <f t="array" ref="B45">FAM(A45)</f>
        <v>0.56513677806202223</v>
      </c>
      <c r="C45" s="14">
        <v>-7.2928438160633747E-15</v>
      </c>
      <c r="D45" s="14">
        <v>0.56513677806202267</v>
      </c>
      <c r="E45" s="73"/>
      <c r="F45" s="18">
        <f t="shared" si="1"/>
        <v>820</v>
      </c>
      <c r="G45" s="14">
        <v>4.6111259616774349E-26</v>
      </c>
    </row>
    <row r="46" spans="1:7" x14ac:dyDescent="0.55000000000000004">
      <c r="A46" s="8">
        <f t="shared" si="0"/>
        <v>2.099999999999999E-3</v>
      </c>
      <c r="B46" s="8" cm="1">
        <f t="array" ref="B46">FAM(A46)</f>
        <v>0.79006736704606984</v>
      </c>
      <c r="C46" s="14">
        <v>2.7327286702065754E-15</v>
      </c>
      <c r="D46" s="14">
        <v>0.79006736704607006</v>
      </c>
      <c r="E46" s="73"/>
      <c r="F46" s="18">
        <f t="shared" si="1"/>
        <v>840</v>
      </c>
      <c r="G46" s="14">
        <v>4.5637815783578482E-26</v>
      </c>
    </row>
    <row r="47" spans="1:7" x14ac:dyDescent="0.55000000000000004">
      <c r="A47" s="8">
        <f t="shared" si="0"/>
        <v>2.1499999999999991E-3</v>
      </c>
      <c r="B47" s="8" cm="1">
        <f t="array" ref="B47">FAM(A47)</f>
        <v>0.55178314751229351</v>
      </c>
      <c r="C47" s="14">
        <v>-6.5629414116271501E-15</v>
      </c>
      <c r="D47" s="14">
        <v>0.55178314751229396</v>
      </c>
      <c r="E47" s="73"/>
      <c r="F47" s="18">
        <f t="shared" si="1"/>
        <v>860</v>
      </c>
      <c r="G47" s="14">
        <v>4.2108412356548922E-26</v>
      </c>
    </row>
    <row r="48" spans="1:7" x14ac:dyDescent="0.55000000000000004">
      <c r="A48" s="8">
        <f t="shared" si="0"/>
        <v>2.1999999999999993E-3</v>
      </c>
      <c r="B48" s="8" cm="1">
        <f t="array" ref="B48">FAM(A48)</f>
        <v>3.6603854563702979E-14</v>
      </c>
      <c r="C48" s="14">
        <v>3.2976378969733751E-15</v>
      </c>
      <c r="D48" s="14">
        <v>3.6617221041924525E-14</v>
      </c>
      <c r="E48" s="73"/>
      <c r="F48" s="18">
        <f t="shared" si="1"/>
        <v>880</v>
      </c>
      <c r="G48" s="14">
        <v>5.081180793394684E-26</v>
      </c>
    </row>
    <row r="49" spans="1:7" x14ac:dyDescent="0.55000000000000004">
      <c r="A49" s="8">
        <f t="shared" si="0"/>
        <v>2.2499999999999994E-3</v>
      </c>
      <c r="B49" s="8" cm="1">
        <f t="array" ref="B49">FAM(A49)</f>
        <v>-0.53693521770487529</v>
      </c>
      <c r="C49" s="14">
        <v>-6.3985125415275316E-15</v>
      </c>
      <c r="D49" s="14">
        <v>-0.53693521770487551</v>
      </c>
      <c r="E49" s="73"/>
      <c r="F49" s="18">
        <f t="shared" si="1"/>
        <v>900</v>
      </c>
      <c r="G49" s="14">
        <v>4.5370651539517785E-26</v>
      </c>
    </row>
    <row r="50" spans="1:7" x14ac:dyDescent="0.55000000000000004">
      <c r="A50" s="8">
        <f t="shared" si="0"/>
        <v>2.2999999999999995E-3</v>
      </c>
      <c r="B50" s="8" cm="1">
        <f t="array" ref="B50">FAM(A50)</f>
        <v>-0.74816091769586723</v>
      </c>
      <c r="C50" s="14">
        <v>3.8131647565791407E-15</v>
      </c>
      <c r="D50" s="14">
        <v>-0.74816091769586712</v>
      </c>
      <c r="E50" s="73"/>
      <c r="F50" s="18">
        <f t="shared" si="1"/>
        <v>920</v>
      </c>
      <c r="G50" s="14">
        <v>5.1107703703228952E-26</v>
      </c>
    </row>
    <row r="51" spans="1:7" x14ac:dyDescent="0.55000000000000004">
      <c r="A51" s="8">
        <f t="shared" si="0"/>
        <v>2.3499999999999997E-3</v>
      </c>
      <c r="B51" s="8" cm="1">
        <f t="array" ref="B51">FAM(A51)</f>
        <v>-0.52084683348798677</v>
      </c>
      <c r="C51" s="14">
        <v>-6.9582830512049694E-15</v>
      </c>
      <c r="D51" s="14">
        <v>-0.52084683348798688</v>
      </c>
      <c r="E51" s="73"/>
      <c r="F51" s="18">
        <f t="shared" si="1"/>
        <v>940</v>
      </c>
      <c r="G51" s="14">
        <v>5.545067594254982E-26</v>
      </c>
    </row>
    <row r="52" spans="1:7" x14ac:dyDescent="0.55000000000000004">
      <c r="A52" s="8">
        <f t="shared" si="0"/>
        <v>2.3999999999999998E-3</v>
      </c>
      <c r="B52" s="8" cm="1">
        <f t="array" ref="B52">FAM(A52)</f>
        <v>-3.1959585883560927E-14</v>
      </c>
      <c r="C52" s="14">
        <v>3.7832930735243736E-15</v>
      </c>
      <c r="D52" s="14">
        <v>-3.1984939878488435E-14</v>
      </c>
      <c r="E52" s="73"/>
      <c r="F52" s="18">
        <f t="shared" si="1"/>
        <v>960</v>
      </c>
      <c r="G52" s="14">
        <v>5.0947220186926753E-26</v>
      </c>
    </row>
    <row r="53" spans="1:7" x14ac:dyDescent="0.55000000000000004">
      <c r="A53" s="8">
        <f t="shared" si="0"/>
        <v>2.4499999999999999E-3</v>
      </c>
      <c r="B53" s="8" cm="1">
        <f t="array" ref="B53">FAM(A53)</f>
        <v>0.50378488435894508</v>
      </c>
      <c r="C53" s="36">
        <v>-6.7412001120868936E-15</v>
      </c>
      <c r="D53" s="36">
        <v>0.50378488435894542</v>
      </c>
      <c r="E53" s="73"/>
      <c r="F53" s="38">
        <f t="shared" si="1"/>
        <v>980</v>
      </c>
      <c r="G53" s="36">
        <v>5.3293683496431741E-26</v>
      </c>
    </row>
    <row r="54" spans="1:7" x14ac:dyDescent="0.55000000000000004">
      <c r="A54" s="4">
        <f t="shared" si="0"/>
        <v>2.5000000000000001E-3</v>
      </c>
      <c r="B54" s="4" cm="1">
        <f t="array" ref="B54">FAM(A54)</f>
        <v>0.70000000000000062</v>
      </c>
      <c r="C54" s="13">
        <v>3.6305330970064422E-15</v>
      </c>
      <c r="D54" s="13">
        <v>0.70000000000000062</v>
      </c>
      <c r="F54" s="17">
        <f t="shared" si="1"/>
        <v>1000</v>
      </c>
      <c r="G54" s="13">
        <v>5.9506824722435617E-26</v>
      </c>
    </row>
    <row r="55" spans="1:7" x14ac:dyDescent="0.55000000000000004">
      <c r="A55" s="8">
        <f t="shared" si="0"/>
        <v>2.5500000000000002E-3</v>
      </c>
      <c r="B55" s="8" cm="1">
        <f t="array" ref="B55">FAM(A55)</f>
        <v>0.48602504349762188</v>
      </c>
      <c r="C55" s="14">
        <v>-6.6446025742102834E-15</v>
      </c>
      <c r="D55" s="14">
        <v>0.48602504349762232</v>
      </c>
      <c r="F55" s="18">
        <f t="shared" si="1"/>
        <v>1020</v>
      </c>
      <c r="G55" s="14">
        <v>6.2684365475383078E-26</v>
      </c>
    </row>
    <row r="56" spans="1:7" x14ac:dyDescent="0.55000000000000004">
      <c r="A56" s="8">
        <f t="shared" si="0"/>
        <v>2.6000000000000003E-3</v>
      </c>
      <c r="B56" s="8" cm="1">
        <f t="array" ref="B56">FAM(A56)</f>
        <v>2.2641878920665917E-14</v>
      </c>
      <c r="C56" s="14">
        <v>3.5484798196773753E-15</v>
      </c>
      <c r="D56" s="14">
        <v>2.2657997631503907E-14</v>
      </c>
      <c r="F56" s="18">
        <f t="shared" si="1"/>
        <v>1040</v>
      </c>
      <c r="G56" s="14">
        <v>6.1704052496510381E-26</v>
      </c>
    </row>
    <row r="57" spans="1:7" x14ac:dyDescent="0.55000000000000004">
      <c r="A57" s="8">
        <f t="shared" si="0"/>
        <v>2.6500000000000004E-3</v>
      </c>
      <c r="B57" s="8" cm="1">
        <f t="array" ref="B57">FAM(A57)</f>
        <v>-0.46784739420346205</v>
      </c>
      <c r="C57" s="14">
        <v>-6.3276953952779677E-15</v>
      </c>
      <c r="D57" s="14">
        <v>-0.46784739420346227</v>
      </c>
      <c r="F57" s="18">
        <f t="shared" si="1"/>
        <v>1060</v>
      </c>
      <c r="G57" s="14">
        <v>8.4522494938019514E-26</v>
      </c>
    </row>
    <row r="58" spans="1:7" x14ac:dyDescent="0.55000000000000004">
      <c r="A58" s="8">
        <f t="shared" si="0"/>
        <v>2.7000000000000006E-3</v>
      </c>
      <c r="B58" s="8" cm="1">
        <f t="array" ref="B58">FAM(A58)</f>
        <v>-0.64868496282992516</v>
      </c>
      <c r="C58" s="14">
        <v>4.4356410117851412E-15</v>
      </c>
      <c r="D58" s="14">
        <v>-0.64868496282992516</v>
      </c>
      <c r="F58" s="18">
        <f t="shared" si="1"/>
        <v>1080</v>
      </c>
      <c r="G58" s="14">
        <v>6.8796923757134167E-26</v>
      </c>
    </row>
    <row r="59" spans="1:7" x14ac:dyDescent="0.55000000000000004">
      <c r="A59" s="8">
        <f t="shared" si="0"/>
        <v>2.7500000000000007E-3</v>
      </c>
      <c r="B59" s="8" cm="1">
        <f t="array" ref="B59">FAM(A59)</f>
        <v>-0.44953201281514971</v>
      </c>
      <c r="C59" s="14">
        <v>-6.6831176784957125E-15</v>
      </c>
      <c r="D59" s="14">
        <v>-0.44953201281514982</v>
      </c>
      <c r="F59" s="18">
        <f t="shared" si="1"/>
        <v>1100</v>
      </c>
      <c r="G59" s="14">
        <v>6.4970644002696092E-26</v>
      </c>
    </row>
    <row r="60" spans="1:7" x14ac:dyDescent="0.55000000000000004">
      <c r="A60" s="8">
        <f t="shared" si="0"/>
        <v>2.8000000000000008E-3</v>
      </c>
      <c r="B60" s="8" cm="1">
        <f t="array" ref="B60">FAM(A60)</f>
        <v>-1.8769815291013417E-14</v>
      </c>
      <c r="C60" s="14">
        <v>4.5021899838595721E-15</v>
      </c>
      <c r="D60" s="14">
        <v>-1.8795380193307302E-14</v>
      </c>
      <c r="F60" s="18">
        <f t="shared" si="1"/>
        <v>1120</v>
      </c>
      <c r="G60" s="14">
        <v>5.6060650021285286E-26</v>
      </c>
    </row>
    <row r="61" spans="1:7" x14ac:dyDescent="0.55000000000000004">
      <c r="A61" s="8">
        <f t="shared" si="0"/>
        <v>2.850000000000001E-3</v>
      </c>
      <c r="B61" s="8" cm="1">
        <f t="array" ref="B61">FAM(A61)</f>
        <v>0.43135457777046771</v>
      </c>
      <c r="C61" s="14">
        <v>-6.801945138728264E-15</v>
      </c>
      <c r="D61" s="14">
        <v>0.43135457777046787</v>
      </c>
      <c r="F61" s="18">
        <f t="shared" si="1"/>
        <v>1140</v>
      </c>
      <c r="G61" s="14">
        <v>7.270679540071872E-26</v>
      </c>
    </row>
    <row r="62" spans="1:7" x14ac:dyDescent="0.55000000000000004">
      <c r="A62" s="8">
        <f t="shared" si="0"/>
        <v>2.9000000000000011E-3</v>
      </c>
      <c r="B62" s="8" cm="1">
        <f t="array" ref="B62">FAM(A62)</f>
        <v>0.59736589740538371</v>
      </c>
      <c r="C62" s="14">
        <v>4.4161938902171006E-15</v>
      </c>
      <c r="D62" s="14">
        <v>0.59736589740538371</v>
      </c>
      <c r="F62" s="18">
        <f t="shared" si="1"/>
        <v>1160</v>
      </c>
      <c r="G62" s="14">
        <v>7.729904068075514E-26</v>
      </c>
    </row>
    <row r="63" spans="1:7" x14ac:dyDescent="0.55000000000000004">
      <c r="A63" s="8">
        <f t="shared" si="0"/>
        <v>2.9500000000000012E-3</v>
      </c>
      <c r="B63" s="8" cm="1">
        <f t="array" ref="B63">FAM(A63)</f>
        <v>0.4135820739536244</v>
      </c>
      <c r="C63" s="14">
        <v>-6.5770196941238924E-15</v>
      </c>
      <c r="D63" s="14">
        <v>0.41358207395362467</v>
      </c>
      <c r="F63" s="18">
        <f t="shared" si="1"/>
        <v>1180</v>
      </c>
      <c r="G63" s="14">
        <v>7.2506030556551101E-26</v>
      </c>
    </row>
    <row r="64" spans="1:7" x14ac:dyDescent="0.55000000000000004">
      <c r="A64" s="8">
        <f t="shared" si="0"/>
        <v>3.0000000000000014E-3</v>
      </c>
      <c r="B64" s="8" cm="1">
        <f t="array" ref="B64">FAM(A64)</f>
        <v>1.5293284976599668E-14</v>
      </c>
      <c r="C64" s="14">
        <v>4.6081630151775455E-15</v>
      </c>
      <c r="D64" s="14">
        <v>1.5307344705342862E-14</v>
      </c>
      <c r="F64" s="18">
        <f t="shared" si="1"/>
        <v>1200</v>
      </c>
      <c r="G64" s="14">
        <v>9.0609998626229002E-26</v>
      </c>
    </row>
    <row r="65" spans="1:7" x14ac:dyDescent="0.55000000000000004">
      <c r="A65" s="8">
        <f t="shared" si="0"/>
        <v>3.0500000000000015E-3</v>
      </c>
      <c r="B65" s="8" cm="1">
        <f t="array" ref="B65">FAM(A65)</f>
        <v>-0.39646865986791791</v>
      </c>
      <c r="C65" s="14">
        <v>-6.1878863286997138E-15</v>
      </c>
      <c r="D65" s="14">
        <v>-0.39646865986791802</v>
      </c>
      <c r="F65" s="18">
        <f t="shared" si="1"/>
        <v>1220</v>
      </c>
      <c r="G65" s="14">
        <v>7.9085711404383733E-26</v>
      </c>
    </row>
    <row r="66" spans="1:7" x14ac:dyDescent="0.55000000000000004">
      <c r="A66" s="8">
        <f t="shared" si="0"/>
        <v>3.1000000000000016E-3</v>
      </c>
      <c r="B66" s="8" cm="1">
        <f t="array" ref="B66">FAM(A66)</f>
        <v>-0.5490458759919129</v>
      </c>
      <c r="C66" s="14">
        <v>4.5959211917676138E-15</v>
      </c>
      <c r="D66" s="14">
        <v>-0.54904587599191301</v>
      </c>
      <c r="F66" s="18">
        <f t="shared" si="1"/>
        <v>1240</v>
      </c>
      <c r="G66" s="14">
        <v>8.0353649381009531E-26</v>
      </c>
    </row>
    <row r="67" spans="1:7" x14ac:dyDescent="0.55000000000000004">
      <c r="A67" s="8">
        <f t="shared" si="0"/>
        <v>3.1500000000000018E-3</v>
      </c>
      <c r="B67" s="8" cm="1">
        <f t="array" ref="B67">FAM(A67)</f>
        <v>-0.38025176250618875</v>
      </c>
      <c r="C67" s="14">
        <v>-6.7407608897997194E-15</v>
      </c>
      <c r="D67" s="14">
        <v>-0.38025176250618881</v>
      </c>
      <c r="F67" s="18">
        <f t="shared" si="1"/>
        <v>1260</v>
      </c>
      <c r="G67" s="14">
        <v>9.7164454971962307E-26</v>
      </c>
    </row>
    <row r="68" spans="1:7" x14ac:dyDescent="0.55000000000000004">
      <c r="A68" s="8">
        <f t="shared" si="0"/>
        <v>3.2000000000000019E-3</v>
      </c>
      <c r="B68" s="8" cm="1">
        <f t="array" ref="B68">FAM(A68)</f>
        <v>-1.2263108519123235E-14</v>
      </c>
      <c r="C68" s="14">
        <v>5.0299910746183508E-15</v>
      </c>
      <c r="D68" s="14">
        <v>-1.2283768006598868E-14</v>
      </c>
      <c r="F68" s="18">
        <f t="shared" si="1"/>
        <v>1280</v>
      </c>
      <c r="G68" s="14">
        <v>9.4974776352578927E-26</v>
      </c>
    </row>
    <row r="69" spans="1:7" x14ac:dyDescent="0.55000000000000004">
      <c r="A69" s="8">
        <f t="shared" si="0"/>
        <v>3.250000000000002E-3</v>
      </c>
      <c r="B69" s="8" cm="1">
        <f t="array" ref="B69">FAM(A69)</f>
        <v>0.36514846109674032</v>
      </c>
      <c r="C69" s="14">
        <v>-6.8674087238185549E-15</v>
      </c>
      <c r="D69" s="14">
        <v>0.36514846109674054</v>
      </c>
      <c r="F69" s="18">
        <f t="shared" si="1"/>
        <v>1300</v>
      </c>
      <c r="G69" s="14">
        <v>1.0442359408956576E-25</v>
      </c>
    </row>
    <row r="70" spans="1:7" x14ac:dyDescent="0.55000000000000004">
      <c r="A70" s="8">
        <f t="shared" ref="A70:A133" si="2">A69+0.00005</f>
        <v>3.3000000000000022E-3</v>
      </c>
      <c r="B70" s="8" cm="1">
        <f t="array" ref="B70">FAM(A70)</f>
        <v>0.50639575090836997</v>
      </c>
      <c r="C70" s="14">
        <v>5.2093041315030464E-15</v>
      </c>
      <c r="D70" s="14">
        <v>0.50639575090837008</v>
      </c>
      <c r="F70" s="18">
        <f t="shared" ref="F70:F133" si="3">20000/1000+F69</f>
        <v>1320</v>
      </c>
      <c r="G70" s="14">
        <v>1.0358503247629168E-25</v>
      </c>
    </row>
    <row r="71" spans="1:7" x14ac:dyDescent="0.55000000000000004">
      <c r="A71" s="8">
        <f t="shared" si="2"/>
        <v>3.3500000000000023E-3</v>
      </c>
      <c r="B71" s="8" cm="1">
        <f t="array" ref="B71">FAM(A71)</f>
        <v>0.35135221625101132</v>
      </c>
      <c r="C71" s="14">
        <v>-6.4328533009347511E-15</v>
      </c>
      <c r="D71" s="14">
        <v>0.35135221625101148</v>
      </c>
      <c r="F71" s="18">
        <f t="shared" si="3"/>
        <v>1340</v>
      </c>
      <c r="G71" s="14">
        <v>1.0606832551247217E-25</v>
      </c>
    </row>
    <row r="72" spans="1:7" x14ac:dyDescent="0.55000000000000004">
      <c r="A72" s="8">
        <f t="shared" si="2"/>
        <v>3.4000000000000024E-3</v>
      </c>
      <c r="B72" s="8" cm="1">
        <f t="array" ref="B72">FAM(A72)</f>
        <v>9.6826072792121885E-15</v>
      </c>
      <c r="C72" s="14">
        <v>5.298421963867207E-15</v>
      </c>
      <c r="D72" s="14">
        <v>9.6907409938390026E-15</v>
      </c>
      <c r="F72" s="18">
        <f t="shared" si="3"/>
        <v>1360</v>
      </c>
      <c r="G72" s="14">
        <v>1.1191281941615266E-25</v>
      </c>
    </row>
    <row r="73" spans="1:7" x14ac:dyDescent="0.55000000000000004">
      <c r="A73" s="8">
        <f t="shared" si="2"/>
        <v>3.4500000000000025E-3</v>
      </c>
      <c r="B73" s="8" cm="1">
        <f t="array" ref="B73">FAM(A73)</f>
        <v>-0.3390299954928338</v>
      </c>
      <c r="C73" s="14">
        <v>-6.6913201070920536E-15</v>
      </c>
      <c r="D73" s="14">
        <v>-0.33902999549283386</v>
      </c>
      <c r="F73" s="18">
        <f t="shared" si="3"/>
        <v>1380</v>
      </c>
      <c r="G73" s="14">
        <v>1.1762742827281094E-25</v>
      </c>
    </row>
    <row r="74" spans="1:7" x14ac:dyDescent="0.55000000000000004">
      <c r="A74" s="8">
        <f t="shared" si="2"/>
        <v>3.5000000000000027E-3</v>
      </c>
      <c r="B74" s="8" cm="1">
        <f t="array" ref="B74">FAM(A74)</f>
        <v>-0.47159209561595888</v>
      </c>
      <c r="C74" s="14">
        <v>5.6518293792688169E-15</v>
      </c>
      <c r="D74" s="14">
        <v>-0.47159209561595877</v>
      </c>
      <c r="F74" s="18">
        <f t="shared" si="3"/>
        <v>1400</v>
      </c>
      <c r="G74" s="14">
        <v>1.2290095083288041E-25</v>
      </c>
    </row>
    <row r="75" spans="1:7" x14ac:dyDescent="0.55000000000000004">
      <c r="A75" s="8">
        <f t="shared" si="2"/>
        <v>3.5500000000000028E-3</v>
      </c>
      <c r="B75" s="8" cm="1">
        <f t="array" ref="B75">FAM(A75)</f>
        <v>-0.3283198398057251</v>
      </c>
      <c r="C75" s="14">
        <v>-6.3970569830344769E-15</v>
      </c>
      <c r="D75" s="14">
        <v>-0.32831983980572521</v>
      </c>
      <c r="F75" s="18">
        <f t="shared" si="3"/>
        <v>1420</v>
      </c>
      <c r="G75" s="14">
        <v>1.2865772999586136E-25</v>
      </c>
    </row>
    <row r="76" spans="1:7" x14ac:dyDescent="0.55000000000000004">
      <c r="A76" s="8">
        <f t="shared" si="2"/>
        <v>3.6000000000000029E-3</v>
      </c>
      <c r="B76" s="8" cm="1">
        <f t="array" ref="B76">FAM(A76)</f>
        <v>-4.260581422132086E-15</v>
      </c>
      <c r="C76" s="14">
        <v>5.7658863714033096E-15</v>
      </c>
      <c r="D76" s="14">
        <v>-4.2727398402257303E-15</v>
      </c>
      <c r="F76" s="18">
        <f t="shared" si="3"/>
        <v>1440</v>
      </c>
      <c r="G76" s="14">
        <v>1.3438475855424732E-25</v>
      </c>
    </row>
    <row r="77" spans="1:7" x14ac:dyDescent="0.55000000000000004">
      <c r="A77" s="8">
        <f t="shared" si="2"/>
        <v>3.6500000000000031E-3</v>
      </c>
      <c r="B77" s="8" cm="1">
        <f t="array" ref="B77">FAM(A77)</f>
        <v>0.31932890878616182</v>
      </c>
      <c r="C77" s="14">
        <v>-6.4459440910645875E-15</v>
      </c>
      <c r="D77" s="14">
        <v>0.31932890878616194</v>
      </c>
      <c r="F77" s="18">
        <f t="shared" si="3"/>
        <v>1460</v>
      </c>
      <c r="G77" s="14">
        <v>1.4028083170533634E-25</v>
      </c>
    </row>
    <row r="78" spans="1:7" x14ac:dyDescent="0.55000000000000004">
      <c r="A78" s="8">
        <f t="shared" si="2"/>
        <v>3.7000000000000032E-3</v>
      </c>
      <c r="B78" s="8" cm="1">
        <f t="array" ref="B78">FAM(A78)</f>
        <v>0.44618837979862802</v>
      </c>
      <c r="C78" s="14">
        <v>5.6502897490114269E-15</v>
      </c>
      <c r="D78" s="14">
        <v>0.44618837979862808</v>
      </c>
      <c r="F78" s="18">
        <f t="shared" si="3"/>
        <v>1480</v>
      </c>
      <c r="G78" s="14">
        <v>1.4334711217119727E-25</v>
      </c>
    </row>
    <row r="79" spans="1:7" x14ac:dyDescent="0.55000000000000004">
      <c r="A79" s="8">
        <f t="shared" si="2"/>
        <v>3.7500000000000033E-3</v>
      </c>
      <c r="B79" s="8" cm="1">
        <f t="array" ref="B79">FAM(A79)</f>
        <v>0.31213203435596754</v>
      </c>
      <c r="C79" s="14">
        <v>-6.7502665686594514E-15</v>
      </c>
      <c r="D79" s="14">
        <v>0.31213203435596776</v>
      </c>
      <c r="F79" s="18">
        <f t="shared" si="3"/>
        <v>1500</v>
      </c>
      <c r="G79" s="14">
        <v>1.5230088653366049E-25</v>
      </c>
    </row>
    <row r="80" spans="1:7" x14ac:dyDescent="0.55000000000000004">
      <c r="A80" s="8">
        <f t="shared" si="2"/>
        <v>3.8000000000000035E-3</v>
      </c>
      <c r="B80" s="8" cm="1">
        <f t="array" ref="B80">FAM(A80)</f>
        <v>2.5711479398233657E-15</v>
      </c>
      <c r="C80" s="14">
        <v>6.2602772540332641E-15</v>
      </c>
      <c r="D80" s="14">
        <v>2.5714138754939884E-15</v>
      </c>
      <c r="F80" s="38">
        <f t="shared" si="3"/>
        <v>1520</v>
      </c>
      <c r="G80" s="14">
        <v>1.6725641952234406E-25</v>
      </c>
    </row>
    <row r="81" spans="1:7" x14ac:dyDescent="0.55000000000000004">
      <c r="A81" s="8">
        <f t="shared" si="2"/>
        <v>3.8500000000000036E-3</v>
      </c>
      <c r="B81" s="8" cm="1">
        <f t="array" ref="B81">FAM(A81)</f>
        <v>-0.30677080488030029</v>
      </c>
      <c r="C81" s="14">
        <v>-6.7064282451308388E-15</v>
      </c>
      <c r="D81" s="14">
        <v>-0.30677080488030034</v>
      </c>
      <c r="F81" s="18">
        <f t="shared" si="3"/>
        <v>1540</v>
      </c>
      <c r="G81" s="14">
        <v>1.6669908332130954E-25</v>
      </c>
    </row>
    <row r="82" spans="1:7" x14ac:dyDescent="0.55000000000000004">
      <c r="A82" s="8">
        <f t="shared" si="2"/>
        <v>3.9000000000000037E-3</v>
      </c>
      <c r="B82" s="8" cm="1">
        <f t="array" ref="B82">FAM(A82)</f>
        <v>-0.4310273478040002</v>
      </c>
      <c r="C82" s="14">
        <v>6.4705715196552988E-15</v>
      </c>
      <c r="D82" s="14">
        <v>-0.4310273478040002</v>
      </c>
      <c r="F82" s="18">
        <f t="shared" si="3"/>
        <v>1560</v>
      </c>
      <c r="G82" s="14">
        <v>1.719716094449034E-25</v>
      </c>
    </row>
    <row r="83" spans="1:7" x14ac:dyDescent="0.55000000000000004">
      <c r="A83" s="8">
        <f t="shared" si="2"/>
        <v>3.9500000000000039E-3</v>
      </c>
      <c r="B83" s="8" cm="1">
        <f t="array" ref="B83">FAM(A83)</f>
        <v>-0.30325319309285953</v>
      </c>
      <c r="C83" s="14">
        <v>-6.3014821343664559E-15</v>
      </c>
      <c r="D83" s="14">
        <v>-0.3032531930928597</v>
      </c>
      <c r="F83" s="18">
        <f t="shared" si="3"/>
        <v>1580</v>
      </c>
      <c r="G83" s="14">
        <v>1.8653572386136927E-25</v>
      </c>
    </row>
    <row r="84" spans="1:7" x14ac:dyDescent="0.55000000000000004">
      <c r="A84" s="8">
        <f t="shared" si="2"/>
        <v>4.0000000000000036E-3</v>
      </c>
      <c r="B84" s="8" cm="1">
        <f t="array" ref="B84">FAM(A84)</f>
        <v>-4.0831693661796277E-15</v>
      </c>
      <c r="C84" s="14">
        <v>6.35562089136035E-15</v>
      </c>
      <c r="D84" s="14">
        <v>-4.0855460375872581E-15</v>
      </c>
      <c r="F84" s="18">
        <f t="shared" si="3"/>
        <v>1600</v>
      </c>
      <c r="G84" s="14">
        <v>2.0691229861347815E-25</v>
      </c>
    </row>
    <row r="85" spans="1:7" x14ac:dyDescent="0.55000000000000004">
      <c r="A85" s="8">
        <f t="shared" si="2"/>
        <v>4.0500000000000033E-3</v>
      </c>
      <c r="B85" s="8" cm="1">
        <f t="array" ref="B85">FAM(A85)</f>
        <v>0.30155373257569035</v>
      </c>
      <c r="C85" s="14">
        <v>-6.4922235284845924E-15</v>
      </c>
      <c r="D85" s="14">
        <v>0.30155373257569074</v>
      </c>
      <c r="F85" s="18">
        <f t="shared" si="3"/>
        <v>1620</v>
      </c>
      <c r="G85" s="14">
        <v>2.1050937144732861E-25</v>
      </c>
    </row>
    <row r="86" spans="1:7" x14ac:dyDescent="0.55000000000000004">
      <c r="A86" s="8">
        <f t="shared" si="2"/>
        <v>4.1000000000000029E-3</v>
      </c>
      <c r="B86" s="8" cm="1">
        <f t="array" ref="B86">FAM(A86)</f>
        <v>0.4261999485025954</v>
      </c>
      <c r="C86" s="14">
        <v>7.0762668752485423E-15</v>
      </c>
      <c r="D86" s="14">
        <v>0.42619994850259563</v>
      </c>
      <c r="F86" s="18">
        <f t="shared" si="3"/>
        <v>1640</v>
      </c>
      <c r="G86" s="14">
        <v>2.1349159015647324E-25</v>
      </c>
    </row>
    <row r="87" spans="1:7" x14ac:dyDescent="0.55000000000000004">
      <c r="A87" s="8">
        <f t="shared" si="2"/>
        <v>4.1500000000000026E-3</v>
      </c>
      <c r="B87" s="8" cm="1">
        <f t="array" ref="B87">FAM(A87)</f>
        <v>0.30161423881804161</v>
      </c>
      <c r="C87" s="14">
        <v>-6.5940758300648018E-15</v>
      </c>
      <c r="D87" s="14">
        <v>0.30161423881804184</v>
      </c>
      <c r="F87" s="18">
        <f t="shared" si="3"/>
        <v>1660</v>
      </c>
      <c r="G87" s="14">
        <v>2.3622925389208358E-25</v>
      </c>
    </row>
    <row r="88" spans="1:7" x14ac:dyDescent="0.55000000000000004">
      <c r="A88" s="8">
        <f t="shared" si="2"/>
        <v>4.2000000000000023E-3</v>
      </c>
      <c r="B88" s="8" cm="1">
        <f t="array" ref="B88">FAM(A88)</f>
        <v>1.1730514844862635E-14</v>
      </c>
      <c r="C88" s="14">
        <v>6.9133056864652061E-15</v>
      </c>
      <c r="D88" s="14">
        <v>1.1723372446637442E-14</v>
      </c>
      <c r="F88" s="18">
        <f t="shared" si="3"/>
        <v>1680</v>
      </c>
      <c r="G88" s="14">
        <v>2.3591182611681788E-25</v>
      </c>
    </row>
    <row r="89" spans="1:7" x14ac:dyDescent="0.55000000000000004">
      <c r="A89" s="8">
        <f t="shared" si="2"/>
        <v>4.250000000000002E-3</v>
      </c>
      <c r="B89" s="8" cm="1">
        <f t="array" ref="B89">FAM(A89)</f>
        <v>-0.30334506222174834</v>
      </c>
      <c r="C89" s="14">
        <v>-6.1146768971546741E-15</v>
      </c>
      <c r="D89" s="14">
        <v>-0.3033450622217484</v>
      </c>
      <c r="F89" s="18">
        <f t="shared" si="3"/>
        <v>1700</v>
      </c>
      <c r="G89" s="14">
        <v>2.5610038246681892E-25</v>
      </c>
    </row>
    <row r="90" spans="1:7" x14ac:dyDescent="0.55000000000000004">
      <c r="A90" s="8">
        <f t="shared" si="2"/>
        <v>4.3000000000000017E-3</v>
      </c>
      <c r="B90" s="8" cm="1">
        <f t="array" ref="B90">FAM(A90)</f>
        <v>-0.43105320975785655</v>
      </c>
      <c r="C90" s="14">
        <v>6.8430659178836441E-15</v>
      </c>
      <c r="D90" s="14">
        <v>-0.43105320975785671</v>
      </c>
      <c r="F90" s="18">
        <f t="shared" si="3"/>
        <v>1720</v>
      </c>
      <c r="G90" s="14">
        <v>2.9121210251648419E-25</v>
      </c>
    </row>
    <row r="91" spans="1:7" x14ac:dyDescent="0.55000000000000004">
      <c r="A91" s="8">
        <f t="shared" si="2"/>
        <v>4.3500000000000014E-3</v>
      </c>
      <c r="B91" s="8" cm="1">
        <f t="array" ref="B91">FAM(A91)</f>
        <v>-0.30662685196926026</v>
      </c>
      <c r="C91" s="14">
        <v>-6.6227382008403739E-15</v>
      </c>
      <c r="D91" s="14">
        <v>-0.30662685196926037</v>
      </c>
      <c r="F91" s="18">
        <f t="shared" si="3"/>
        <v>1740</v>
      </c>
      <c r="G91" s="14">
        <v>3.0145026426350717E-25</v>
      </c>
    </row>
    <row r="92" spans="1:7" x14ac:dyDescent="0.55000000000000004">
      <c r="A92" s="8">
        <f t="shared" si="2"/>
        <v>4.4000000000000011E-3</v>
      </c>
      <c r="B92" s="8" cm="1">
        <f t="array" ref="B92">FAM(A92)</f>
        <v>-2.2897960196247193E-14</v>
      </c>
      <c r="C92" s="14">
        <v>7.6001943785026506E-15</v>
      </c>
      <c r="D92" s="14">
        <v>-2.2891797720006439E-14</v>
      </c>
      <c r="F92" s="18">
        <f t="shared" si="3"/>
        <v>1760</v>
      </c>
      <c r="G92" s="14">
        <v>3.0704310985366631E-25</v>
      </c>
    </row>
    <row r="93" spans="1:7" x14ac:dyDescent="0.55000000000000004">
      <c r="A93" s="8">
        <f t="shared" si="2"/>
        <v>4.4500000000000008E-3</v>
      </c>
      <c r="B93" s="8" cm="1">
        <f t="array" ref="B93">FAM(A93)</f>
        <v>0.31131280155489455</v>
      </c>
      <c r="C93" s="14">
        <v>-6.1943318013109664E-15</v>
      </c>
      <c r="D93" s="14">
        <v>0.31131280155489471</v>
      </c>
      <c r="F93" s="18">
        <f t="shared" si="3"/>
        <v>1780</v>
      </c>
      <c r="G93" s="14">
        <v>3.3513052624093791E-25</v>
      </c>
    </row>
    <row r="94" spans="1:7" x14ac:dyDescent="0.55000000000000004">
      <c r="A94" s="8">
        <f t="shared" si="2"/>
        <v>4.5000000000000005E-3</v>
      </c>
      <c r="B94" s="8" cm="1">
        <f t="array" ref="B94">FAM(A94)</f>
        <v>0.44424634841649452</v>
      </c>
      <c r="C94" s="14">
        <v>7.2368195095845251E-15</v>
      </c>
      <c r="D94" s="14">
        <v>0.44424634841649469</v>
      </c>
      <c r="F94" s="18">
        <f t="shared" si="3"/>
        <v>1800</v>
      </c>
      <c r="G94" s="14">
        <v>3.4921024715973287E-25</v>
      </c>
    </row>
    <row r="95" spans="1:7" x14ac:dyDescent="0.55000000000000004">
      <c r="A95" s="8">
        <f t="shared" si="2"/>
        <v>4.5500000000000002E-3</v>
      </c>
      <c r="B95" s="8" cm="1">
        <f t="array" ref="B95">FAM(A95)</f>
        <v>0.31723133913329149</v>
      </c>
      <c r="C95" s="14">
        <v>-6.8105884272590732E-15</v>
      </c>
      <c r="D95" s="14">
        <v>0.31723133913329166</v>
      </c>
      <c r="F95" s="18">
        <f t="shared" si="3"/>
        <v>1820</v>
      </c>
      <c r="G95" s="14">
        <v>3.6937078623757897E-25</v>
      </c>
    </row>
    <row r="96" spans="1:7" x14ac:dyDescent="0.55000000000000004">
      <c r="A96" s="8">
        <f t="shared" si="2"/>
        <v>4.5999999999999999E-3</v>
      </c>
      <c r="B96" s="8" cm="1">
        <f t="array" ref="B96">FAM(A96)</f>
        <v>3.5102906472605512E-14</v>
      </c>
      <c r="C96" s="14">
        <v>7.4720340390647771E-15</v>
      </c>
      <c r="D96" s="14">
        <v>3.509106973248702E-14</v>
      </c>
      <c r="F96" s="18">
        <f t="shared" si="3"/>
        <v>1840</v>
      </c>
      <c r="G96" s="14">
        <v>4.1352741770570371E-25</v>
      </c>
    </row>
    <row r="97" spans="1:7" x14ac:dyDescent="0.55000000000000004">
      <c r="A97" s="8">
        <f t="shared" si="2"/>
        <v>4.6499999999999996E-3</v>
      </c>
      <c r="B97" s="8" cm="1">
        <f t="array" ref="B97">FAM(A97)</f>
        <v>-0.32418921877465584</v>
      </c>
      <c r="C97" s="14">
        <v>-6.3256888317953148E-15</v>
      </c>
      <c r="D97" s="14">
        <v>-0.3241892187746559</v>
      </c>
      <c r="F97" s="18">
        <f t="shared" si="3"/>
        <v>1860</v>
      </c>
      <c r="G97" s="14">
        <v>4.3810482845421273E-25</v>
      </c>
    </row>
    <row r="98" spans="1:7" x14ac:dyDescent="0.55000000000000004">
      <c r="A98" s="8">
        <f t="shared" si="2"/>
        <v>4.6999999999999993E-3</v>
      </c>
      <c r="B98" s="8" cm="1">
        <f t="array" ref="B98">FAM(A98)</f>
        <v>-0.46385135238020869</v>
      </c>
      <c r="C98" s="14">
        <v>8.4194425402398024E-15</v>
      </c>
      <c r="D98" s="14">
        <v>-0.4638513523802088</v>
      </c>
      <c r="F98" s="18">
        <f t="shared" si="3"/>
        <v>1880</v>
      </c>
      <c r="G98" s="14">
        <v>4.6170795051971986E-25</v>
      </c>
    </row>
    <row r="99" spans="1:7" x14ac:dyDescent="0.55000000000000004">
      <c r="A99" s="8">
        <f t="shared" si="2"/>
        <v>4.749999999999999E-3</v>
      </c>
      <c r="B99" s="8" cm="1">
        <f t="array" ref="B99">FAM(A99)</f>
        <v>-0.33197496235666701</v>
      </c>
      <c r="C99" s="14">
        <v>-6.0640415287239105E-15</v>
      </c>
      <c r="D99" s="14">
        <v>-0.33197496235666701</v>
      </c>
      <c r="F99" s="18">
        <f t="shared" si="3"/>
        <v>1900</v>
      </c>
      <c r="G99" s="14">
        <v>5.2204031265252002E-25</v>
      </c>
    </row>
    <row r="100" spans="1:7" x14ac:dyDescent="0.55000000000000004">
      <c r="A100" s="8">
        <f t="shared" si="2"/>
        <v>4.7999999999999987E-3</v>
      </c>
      <c r="B100" s="8" cm="1">
        <f t="array" ref="B100">FAM(A100)</f>
        <v>-4.8680849987851453E-14</v>
      </c>
      <c r="C100" s="14">
        <v>8.0698104507953154E-15</v>
      </c>
      <c r="D100" s="14">
        <v>-4.8669491816396195E-14</v>
      </c>
      <c r="F100" s="18">
        <f t="shared" si="3"/>
        <v>1920</v>
      </c>
      <c r="G100" s="14">
        <v>5.4587944203237039E-25</v>
      </c>
    </row>
    <row r="101" spans="1:7" x14ac:dyDescent="0.55000000000000004">
      <c r="A101" s="8">
        <f t="shared" si="2"/>
        <v>4.8499999999999984E-3</v>
      </c>
      <c r="B101" s="8" cm="1">
        <f t="array" ref="B101">FAM(A101)</f>
        <v>0.34036259625370424</v>
      </c>
      <c r="C101" s="14">
        <v>-6.7844291404175999E-15</v>
      </c>
      <c r="D101" s="14">
        <v>0.34036259625370441</v>
      </c>
      <c r="F101" s="18">
        <f t="shared" si="3"/>
        <v>1940</v>
      </c>
      <c r="G101" s="14">
        <v>5.7663053941110678E-25</v>
      </c>
    </row>
    <row r="102" spans="1:7" x14ac:dyDescent="0.55000000000000004">
      <c r="A102" s="8">
        <f t="shared" si="2"/>
        <v>4.8999999999999981E-3</v>
      </c>
      <c r="B102" s="8" cm="1">
        <f t="array" ref="B102">FAM(A102)</f>
        <v>0.48749145719300102</v>
      </c>
      <c r="C102" s="14">
        <v>7.7819591512366595E-15</v>
      </c>
      <c r="D102" s="14">
        <v>0.48749145719300113</v>
      </c>
      <c r="F102" s="18">
        <f t="shared" si="3"/>
        <v>1960</v>
      </c>
      <c r="G102" s="14">
        <v>6.4621872215933783E-25</v>
      </c>
    </row>
    <row r="103" spans="1:7" x14ac:dyDescent="0.55000000000000004">
      <c r="A103" s="8">
        <f t="shared" si="2"/>
        <v>4.9499999999999978E-3</v>
      </c>
      <c r="B103" s="8" cm="1">
        <f t="array" ref="B103">FAM(A103)</f>
        <v>0.34911562231190324</v>
      </c>
      <c r="C103" s="36">
        <v>-6.34393334682421E-15</v>
      </c>
      <c r="D103" s="36">
        <v>0.34911562231190341</v>
      </c>
      <c r="F103" s="38">
        <f t="shared" si="3"/>
        <v>1980</v>
      </c>
      <c r="G103" s="36">
        <v>7.1785596772309378E-25</v>
      </c>
    </row>
    <row r="104" spans="1:7" x14ac:dyDescent="0.55000000000000004">
      <c r="A104" s="4">
        <f t="shared" si="2"/>
        <v>4.9999999999999975E-3</v>
      </c>
      <c r="B104" s="4" cm="1">
        <f t="array" ref="B104">FAM(A104)</f>
        <v>5.659787052034184E-14</v>
      </c>
      <c r="C104" s="13">
        <v>8.8751427670727087E-15</v>
      </c>
      <c r="D104" s="13">
        <v>5.6585577064777846E-14</v>
      </c>
      <c r="F104" s="17">
        <f t="shared" si="3"/>
        <v>2000</v>
      </c>
      <c r="G104" s="13">
        <v>7.4463743569889174E-25</v>
      </c>
    </row>
    <row r="105" spans="1:7" x14ac:dyDescent="0.55000000000000004">
      <c r="A105" s="8">
        <f t="shared" si="2"/>
        <v>5.0499999999999972E-3</v>
      </c>
      <c r="B105" s="8" cm="1">
        <f t="array" ref="B105">FAM(A105)</f>
        <v>-0.35799115887463495</v>
      </c>
      <c r="C105" s="14">
        <v>-6.6104965039028068E-15</v>
      </c>
      <c r="D105" s="14">
        <v>-0.35799115887463495</v>
      </c>
      <c r="F105" s="18">
        <f t="shared" si="3"/>
        <v>2020</v>
      </c>
      <c r="G105" s="14">
        <v>8.4312561633002991E-25</v>
      </c>
    </row>
    <row r="106" spans="1:7" x14ac:dyDescent="0.55000000000000004">
      <c r="A106" s="8">
        <f t="shared" si="2"/>
        <v>5.0999999999999969E-3</v>
      </c>
      <c r="B106" s="8" cm="1">
        <f t="array" ref="B106">FAM(A106)</f>
        <v>-0.51250854280699709</v>
      </c>
      <c r="C106" s="14">
        <v>9.0371492696898016E-15</v>
      </c>
      <c r="D106" s="14">
        <v>-0.5125085428069972</v>
      </c>
      <c r="F106" s="18">
        <f t="shared" si="3"/>
        <v>2040</v>
      </c>
      <c r="G106" s="89">
        <v>9.6049136902979768E-25</v>
      </c>
    </row>
    <row r="107" spans="1:7" x14ac:dyDescent="0.55000000000000004">
      <c r="A107" s="8">
        <f t="shared" si="2"/>
        <v>5.1499999999999966E-3</v>
      </c>
      <c r="B107" s="8" cm="1">
        <f t="array" ref="B107">FAM(A107)</f>
        <v>-0.36674418493285582</v>
      </c>
      <c r="C107" s="14">
        <v>-7.2070655507987467E-15</v>
      </c>
      <c r="D107" s="14">
        <v>-0.36674418493285588</v>
      </c>
      <c r="F107" s="18">
        <f t="shared" si="3"/>
        <v>2060</v>
      </c>
      <c r="G107" s="14">
        <v>9.878003536127243E-25</v>
      </c>
    </row>
    <row r="108" spans="1:7" x14ac:dyDescent="0.55000000000000004">
      <c r="A108" s="8">
        <f t="shared" si="2"/>
        <v>5.1999999999999963E-3</v>
      </c>
      <c r="B108" s="8" cm="1">
        <f t="array" ref="B108">FAM(A108)</f>
        <v>-7.2502862884908112E-14</v>
      </c>
      <c r="C108" s="14">
        <v>8.4537749638555387E-15</v>
      </c>
      <c r="D108" s="14">
        <v>-7.2490811908026146E-14</v>
      </c>
      <c r="F108" s="18">
        <f t="shared" si="3"/>
        <v>2080</v>
      </c>
      <c r="G108" s="14">
        <v>1.1209798548072319E-24</v>
      </c>
    </row>
    <row r="109" spans="1:7" x14ac:dyDescent="0.55000000000000004">
      <c r="A109" s="8">
        <f t="shared" si="2"/>
        <v>5.249999999999996E-3</v>
      </c>
      <c r="B109" s="8" cm="1">
        <f t="array" ref="B109">FAM(A109)</f>
        <v>0.3751318188298548</v>
      </c>
      <c r="C109" s="14">
        <v>-6.2160443261205208E-15</v>
      </c>
      <c r="D109" s="14">
        <v>0.37513181882985497</v>
      </c>
      <c r="F109" s="18">
        <f t="shared" si="3"/>
        <v>2100</v>
      </c>
      <c r="G109" s="14">
        <v>1.3435433014076174E-24</v>
      </c>
    </row>
    <row r="110" spans="1:7" x14ac:dyDescent="0.55000000000000004">
      <c r="A110" s="8">
        <f t="shared" si="2"/>
        <v>5.2999999999999957E-3</v>
      </c>
      <c r="B110" s="8" cm="1">
        <f t="array" ref="B110">FAM(A110)</f>
        <v>0.53614864761978964</v>
      </c>
      <c r="C110" s="14">
        <v>1.1419535139914581E-14</v>
      </c>
      <c r="D110" s="14">
        <v>0.53614864761978964</v>
      </c>
      <c r="F110" s="18">
        <f t="shared" si="3"/>
        <v>2120</v>
      </c>
      <c r="G110" s="14">
        <v>1.4235777544940475E-24</v>
      </c>
    </row>
    <row r="111" spans="1:7" x14ac:dyDescent="0.55000000000000004">
      <c r="A111" s="8">
        <f t="shared" si="2"/>
        <v>5.3499999999999954E-3</v>
      </c>
      <c r="B111" s="8" cm="1">
        <f t="array" ref="B111">FAM(A111)</f>
        <v>0.38291756241192604</v>
      </c>
      <c r="C111" s="14">
        <v>-6.2198272005415897E-15</v>
      </c>
      <c r="D111" s="14">
        <v>0.38291756241192632</v>
      </c>
      <c r="F111" s="18">
        <f t="shared" si="3"/>
        <v>2140</v>
      </c>
      <c r="G111" s="14">
        <v>1.5901359510974878E-24</v>
      </c>
    </row>
    <row r="112" spans="1:7" x14ac:dyDescent="0.55000000000000004">
      <c r="A112" s="8">
        <f t="shared" si="2"/>
        <v>5.3999999999999951E-3</v>
      </c>
      <c r="B112" s="8" cm="1">
        <f t="array" ref="B112">FAM(A112)</f>
        <v>8.9195538329974165E-14</v>
      </c>
      <c r="C112" s="14">
        <v>9.9452298671107292E-15</v>
      </c>
      <c r="D112" s="14">
        <v>8.9187418814828535E-14</v>
      </c>
      <c r="F112" s="18">
        <f t="shared" si="3"/>
        <v>2160</v>
      </c>
      <c r="G112" s="14">
        <v>2.0489599858753048E-24</v>
      </c>
    </row>
    <row r="113" spans="1:7" x14ac:dyDescent="0.55000000000000004">
      <c r="A113" s="8">
        <f t="shared" si="2"/>
        <v>5.4499999999999948E-3</v>
      </c>
      <c r="B113" s="8" cm="1">
        <f t="array" ref="B113">FAM(A113)</f>
        <v>-0.38987544205321406</v>
      </c>
      <c r="C113" s="14">
        <v>-4.068288315888722E-15</v>
      </c>
      <c r="D113" s="14">
        <v>-0.38987544205321428</v>
      </c>
      <c r="F113" s="18">
        <f t="shared" si="3"/>
        <v>2180</v>
      </c>
      <c r="G113" s="14">
        <v>2.2554846884548589E-24</v>
      </c>
    </row>
    <row r="114" spans="1:7" x14ac:dyDescent="0.55000000000000004">
      <c r="A114" s="8">
        <f t="shared" si="2"/>
        <v>5.4999999999999945E-3</v>
      </c>
      <c r="B114" s="8" cm="1">
        <f t="array" ref="B114">FAM(A114)</f>
        <v>-0.5557536515835042</v>
      </c>
      <c r="C114" s="14">
        <v>1.0648489009441456E-14</v>
      </c>
      <c r="D114" s="14">
        <v>-0.5557536515835042</v>
      </c>
      <c r="F114" s="18">
        <f t="shared" si="3"/>
        <v>2200</v>
      </c>
      <c r="G114" s="14">
        <v>2.5589888162698215E-24</v>
      </c>
    </row>
    <row r="115" spans="1:7" x14ac:dyDescent="0.55000000000000004">
      <c r="A115" s="8">
        <f t="shared" si="2"/>
        <v>5.5499999999999942E-3</v>
      </c>
      <c r="B115" s="8" cm="1">
        <f t="array" ref="B115">FAM(A115)</f>
        <v>-0.39579397963170843</v>
      </c>
      <c r="C115" s="14">
        <v>-6.0819172692152961E-15</v>
      </c>
      <c r="D115" s="14">
        <v>-0.39579397963170859</v>
      </c>
      <c r="F115" s="18">
        <f t="shared" si="3"/>
        <v>2220</v>
      </c>
      <c r="G115" s="14">
        <v>3.853356612996592E-24</v>
      </c>
    </row>
    <row r="116" spans="1:7" x14ac:dyDescent="0.55000000000000004">
      <c r="A116" s="8">
        <f t="shared" si="2"/>
        <v>5.5999999999999939E-3</v>
      </c>
      <c r="B116" s="8" cm="1">
        <f t="array" ref="B116">FAM(A116)</f>
        <v>-1.0599331527832998E-13</v>
      </c>
      <c r="C116" s="14">
        <v>8.6678476205452136E-15</v>
      </c>
      <c r="D116" s="14">
        <v>-1.0598501348908989E-13</v>
      </c>
      <c r="F116" s="18">
        <f t="shared" si="3"/>
        <v>2240</v>
      </c>
      <c r="G116" s="14">
        <v>4.956344158961663E-24</v>
      </c>
    </row>
    <row r="117" spans="1:7" x14ac:dyDescent="0.55000000000000004">
      <c r="A117" s="8">
        <f t="shared" si="2"/>
        <v>5.6499999999999936E-3</v>
      </c>
      <c r="B117" s="8" cm="1">
        <f t="array" ref="B117">FAM(A117)</f>
        <v>0.40047992921722547</v>
      </c>
      <c r="C117" s="14">
        <v>-6.2186134148810907E-15</v>
      </c>
      <c r="D117" s="14">
        <v>0.40047992921722569</v>
      </c>
      <c r="F117" s="18">
        <f t="shared" si="3"/>
        <v>2260</v>
      </c>
      <c r="G117" s="14">
        <v>5.7128247444717469E-24</v>
      </c>
    </row>
    <row r="118" spans="1:7" x14ac:dyDescent="0.55000000000000004">
      <c r="A118" s="8">
        <f t="shared" si="2"/>
        <v>5.6999999999999933E-3</v>
      </c>
      <c r="B118" s="8" cm="1">
        <f t="array" ref="B118">FAM(A118)</f>
        <v>0.56894679024214267</v>
      </c>
      <c r="C118" s="14">
        <v>1.0331623202464286E-14</v>
      </c>
      <c r="D118" s="14">
        <v>0.56894679024214267</v>
      </c>
      <c r="F118" s="18">
        <f t="shared" si="3"/>
        <v>2280</v>
      </c>
      <c r="G118" s="14">
        <v>3.3728429450890705E-23</v>
      </c>
    </row>
    <row r="119" spans="1:7" x14ac:dyDescent="0.55000000000000004">
      <c r="A119" s="8">
        <f t="shared" si="2"/>
        <v>5.749999999999993E-3</v>
      </c>
      <c r="B119" s="8" cm="1">
        <f t="array" ref="B119">FAM(A119)</f>
        <v>0.40376171896487467</v>
      </c>
      <c r="C119" s="14">
        <v>-6.1507721420623025E-15</v>
      </c>
      <c r="D119" s="14">
        <v>0.40376171896487478</v>
      </c>
      <c r="F119" s="18">
        <f t="shared" si="3"/>
        <v>2300</v>
      </c>
      <c r="G119" s="14">
        <v>5.0000000000008002</v>
      </c>
    </row>
    <row r="120" spans="1:7" x14ac:dyDescent="0.55000000000000004">
      <c r="A120" s="8">
        <f t="shared" si="2"/>
        <v>5.7999999999999927E-3</v>
      </c>
      <c r="B120" s="8" cm="1">
        <f t="array" ref="B120">FAM(A120)</f>
        <v>1.2203817164317035E-13</v>
      </c>
      <c r="C120" s="14">
        <v>1.0805835618680334E-14</v>
      </c>
      <c r="D120" s="14">
        <v>1.2203800432227943E-13</v>
      </c>
      <c r="F120" s="18">
        <f t="shared" si="3"/>
        <v>2320</v>
      </c>
      <c r="G120" s="14">
        <v>2.6766305663458334E-23</v>
      </c>
    </row>
    <row r="121" spans="1:7" x14ac:dyDescent="0.55000000000000004">
      <c r="A121" s="8">
        <f t="shared" si="2"/>
        <v>5.8499999999999924E-3</v>
      </c>
      <c r="B121" s="8" cm="1">
        <f t="array" ref="B121">FAM(A121)</f>
        <v>-0.40549254236842575</v>
      </c>
      <c r="C121" s="14">
        <v>-6.0258969651254456E-15</v>
      </c>
      <c r="D121" s="14">
        <v>-0.40549254236842586</v>
      </c>
      <c r="F121" s="18">
        <f t="shared" si="3"/>
        <v>2340</v>
      </c>
      <c r="G121" s="14">
        <v>7.1412810799274405E-24</v>
      </c>
    </row>
    <row r="122" spans="1:7" x14ac:dyDescent="0.55000000000000004">
      <c r="A122" s="8">
        <f t="shared" si="2"/>
        <v>5.8999999999999921E-3</v>
      </c>
      <c r="B122" s="8" cm="1">
        <f t="array" ref="B122">FAM(A122)</f>
        <v>-0.57380005149740454</v>
      </c>
      <c r="C122" s="14">
        <v>1.0425959278588909E-14</v>
      </c>
      <c r="D122" s="14">
        <v>-0.57380005149740465</v>
      </c>
      <c r="F122" s="18">
        <f t="shared" si="3"/>
        <v>2360</v>
      </c>
      <c r="G122" s="14">
        <v>9.0177686874219614E-24</v>
      </c>
    </row>
    <row r="123" spans="1:7" x14ac:dyDescent="0.55000000000000004">
      <c r="A123" s="8">
        <f t="shared" si="2"/>
        <v>5.9499999999999918E-3</v>
      </c>
      <c r="B123" s="8" cm="1">
        <f t="array" ref="B123">FAM(A123)</f>
        <v>-0.40555304861094338</v>
      </c>
      <c r="C123" s="14">
        <v>-6.2047497095074768E-15</v>
      </c>
      <c r="D123" s="14">
        <v>-0.40555304861094338</v>
      </c>
      <c r="F123" s="18">
        <f t="shared" si="3"/>
        <v>2380</v>
      </c>
      <c r="G123" s="14">
        <v>1.7086081865701081E-23</v>
      </c>
    </row>
    <row r="124" spans="1:7" x14ac:dyDescent="0.55000000000000004">
      <c r="A124" s="8">
        <f t="shared" si="2"/>
        <v>5.9999999999999915E-3</v>
      </c>
      <c r="B124" s="8" cm="1">
        <f t="array" ref="B124">FAM(A124)</f>
        <v>-1.3637935300488211E-13</v>
      </c>
      <c r="C124" s="14">
        <v>1.194659274834565E-14</v>
      </c>
      <c r="D124" s="14">
        <v>-1.3637799082608912E-13</v>
      </c>
      <c r="F124" s="18">
        <f t="shared" si="3"/>
        <v>2400</v>
      </c>
      <c r="G124" s="14">
        <v>4.9999999999937286</v>
      </c>
    </row>
    <row r="125" spans="1:7" x14ac:dyDescent="0.55000000000000004">
      <c r="A125" s="8">
        <f t="shared" si="2"/>
        <v>6.0499999999999911E-3</v>
      </c>
      <c r="B125" s="8" cm="1">
        <f t="array" ref="B125">FAM(A125)</f>
        <v>0.40385358809359106</v>
      </c>
      <c r="C125" s="14">
        <v>-5.3365746053094076E-15</v>
      </c>
      <c r="D125" s="14">
        <v>0.40385358809359134</v>
      </c>
      <c r="F125" s="18">
        <f t="shared" si="3"/>
        <v>2420</v>
      </c>
      <c r="G125" s="14">
        <v>7.3495420915974459E-23</v>
      </c>
    </row>
    <row r="126" spans="1:7" x14ac:dyDescent="0.55000000000000004">
      <c r="A126" s="8">
        <f t="shared" si="2"/>
        <v>6.0999999999999908E-3</v>
      </c>
      <c r="B126" s="8" cm="1">
        <f t="array" ref="B126">FAM(A126)</f>
        <v>0.56897265219600057</v>
      </c>
      <c r="C126" s="14">
        <v>1.1388256859183244E-14</v>
      </c>
      <c r="D126" s="14">
        <v>0.56897265219600091</v>
      </c>
      <c r="F126" s="18">
        <f t="shared" si="3"/>
        <v>2440</v>
      </c>
      <c r="G126" s="14">
        <v>6.4170309306179521E-23</v>
      </c>
    </row>
    <row r="127" spans="1:7" x14ac:dyDescent="0.55000000000000004">
      <c r="A127" s="8">
        <f t="shared" si="2"/>
        <v>6.1499999999999905E-3</v>
      </c>
      <c r="B127" s="8" cm="1">
        <f t="array" ref="B127">FAM(A127)</f>
        <v>0.40033597630634393</v>
      </c>
      <c r="C127" s="14">
        <v>-5.8876103815490966E-15</v>
      </c>
      <c r="D127" s="14">
        <v>0.40033597630634415</v>
      </c>
      <c r="F127" s="18">
        <f t="shared" si="3"/>
        <v>2460</v>
      </c>
      <c r="G127" s="14">
        <v>1.0770248301931031E-22</v>
      </c>
    </row>
    <row r="128" spans="1:7" x14ac:dyDescent="0.55000000000000004">
      <c r="A128" s="8">
        <f t="shared" si="2"/>
        <v>6.1999999999999902E-3</v>
      </c>
      <c r="B128" s="8" cm="1">
        <f t="array" ref="B128">FAM(A128)</f>
        <v>1.4007394971513396E-13</v>
      </c>
      <c r="C128" s="14">
        <v>1.1226902634168266E-14</v>
      </c>
      <c r="D128" s="14">
        <v>1.4008361456066807E-13</v>
      </c>
      <c r="F128" s="18">
        <f t="shared" si="3"/>
        <v>2480</v>
      </c>
      <c r="G128" s="14">
        <v>9.8419018299955476E-22</v>
      </c>
    </row>
    <row r="129" spans="1:7" x14ac:dyDescent="0.55000000000000004">
      <c r="A129" s="8">
        <f t="shared" si="2"/>
        <v>6.2499999999999899E-3</v>
      </c>
      <c r="B129" s="8" cm="1">
        <f t="array" ref="B129">FAM(A129)</f>
        <v>-0.39497474683047928</v>
      </c>
      <c r="C129" s="14">
        <v>-6.2688839948057851E-15</v>
      </c>
      <c r="D129" s="14">
        <v>-0.39497474683047962</v>
      </c>
      <c r="F129" s="18">
        <f t="shared" si="3"/>
        <v>2500</v>
      </c>
      <c r="G129" s="14">
        <v>124.99999999999864</v>
      </c>
    </row>
    <row r="130" spans="1:7" x14ac:dyDescent="0.55000000000000004">
      <c r="A130" s="8">
        <f t="shared" si="2"/>
        <v>6.2999999999999896E-3</v>
      </c>
      <c r="B130" s="8" cm="1">
        <f t="array" ref="B130">FAM(A130)</f>
        <v>-0.55381162020137376</v>
      </c>
      <c r="C130" s="14">
        <v>1.2451104505367886E-14</v>
      </c>
      <c r="D130" s="14">
        <v>-0.55381162020137387</v>
      </c>
      <c r="F130" s="18">
        <f t="shared" si="3"/>
        <v>2520</v>
      </c>
      <c r="G130" s="14">
        <v>9.9178732482500915E-22</v>
      </c>
    </row>
    <row r="131" spans="1:7" x14ac:dyDescent="0.55000000000000004">
      <c r="A131" s="8">
        <f t="shared" si="2"/>
        <v>6.3499999999999893E-3</v>
      </c>
      <c r="B131" s="8" cm="1">
        <f t="array" ref="B131">FAM(A131)</f>
        <v>-0.3877778724004885</v>
      </c>
      <c r="C131" s="14">
        <v>-5.7052742028969368E-15</v>
      </c>
      <c r="D131" s="14">
        <v>-0.38777787240048867</v>
      </c>
      <c r="F131" s="38">
        <f t="shared" si="3"/>
        <v>2540</v>
      </c>
      <c r="G131" s="14">
        <v>1.1087328922430832E-22</v>
      </c>
    </row>
    <row r="132" spans="1:7" x14ac:dyDescent="0.55000000000000004">
      <c r="A132" s="8">
        <f t="shared" si="2"/>
        <v>6.399999999999989E-3</v>
      </c>
      <c r="B132" s="8" cm="1">
        <f t="array" ref="B132">FAM(A132)</f>
        <v>-1.4856459833008779E-13</v>
      </c>
      <c r="C132" s="14">
        <v>1.2545891717009061E-14</v>
      </c>
      <c r="D132" s="14">
        <v>-1.4857125392506769E-13</v>
      </c>
      <c r="F132" s="18">
        <f t="shared" si="3"/>
        <v>2560</v>
      </c>
      <c r="G132" s="14">
        <v>6.6965079576525874E-23</v>
      </c>
    </row>
    <row r="133" spans="1:7" x14ac:dyDescent="0.55000000000000004">
      <c r="A133" s="8">
        <f t="shared" si="2"/>
        <v>6.4499999999999887E-3</v>
      </c>
      <c r="B133" s="8" cm="1">
        <f t="array" ref="B133">FAM(A133)</f>
        <v>0.37878694138072411</v>
      </c>
      <c r="C133" s="14">
        <v>-6.0453268135005298E-15</v>
      </c>
      <c r="D133" s="14">
        <v>0.37878694138072422</v>
      </c>
      <c r="F133" s="18">
        <f t="shared" si="3"/>
        <v>2580</v>
      </c>
      <c r="G133" s="14">
        <v>8.1227517589513677E-23</v>
      </c>
    </row>
    <row r="134" spans="1:7" x14ac:dyDescent="0.55000000000000004">
      <c r="A134" s="8">
        <f t="shared" ref="A134:A197" si="4">A133+0.00005</f>
        <v>6.4999999999999884E-3</v>
      </c>
      <c r="B134" s="8" cm="1">
        <f t="array" ref="B134">FAM(A134)</f>
        <v>0.52840790438404406</v>
      </c>
      <c r="C134" s="14">
        <v>1.3126355621310246E-14</v>
      </c>
      <c r="D134" s="14">
        <v>0.52840790438404395</v>
      </c>
      <c r="F134" s="18">
        <f t="shared" ref="F134:F197" si="5">20000/1000+F133</f>
        <v>2600</v>
      </c>
      <c r="G134" s="14">
        <v>5.0000000000065423</v>
      </c>
    </row>
    <row r="135" spans="1:7" x14ac:dyDescent="0.55000000000000004">
      <c r="A135" s="8">
        <f t="shared" si="4"/>
        <v>6.5499999999999881E-3</v>
      </c>
      <c r="B135" s="8" cm="1">
        <f t="array" ref="B135">FAM(A135)</f>
        <v>0.3680767856938198</v>
      </c>
      <c r="C135" s="14">
        <v>-5.148738148072792E-15</v>
      </c>
      <c r="D135" s="14">
        <v>0.36807678569381991</v>
      </c>
      <c r="F135" s="18">
        <f t="shared" si="5"/>
        <v>2620</v>
      </c>
      <c r="G135" s="14">
        <v>1.9848302949699446E-23</v>
      </c>
    </row>
    <row r="136" spans="1:7" x14ac:dyDescent="0.55000000000000004">
      <c r="A136" s="8">
        <f t="shared" si="4"/>
        <v>6.5999999999999878E-3</v>
      </c>
      <c r="B136" s="8" cm="1">
        <f t="array" ref="B136">FAM(A136)</f>
        <v>1.5307512319013922E-13</v>
      </c>
      <c r="C136" s="14">
        <v>1.3441002954957019E-14</v>
      </c>
      <c r="D136" s="14">
        <v>1.530940212879119E-13</v>
      </c>
      <c r="F136" s="18">
        <f t="shared" si="5"/>
        <v>2640</v>
      </c>
      <c r="G136" s="14">
        <v>9.6377772447992992E-24</v>
      </c>
    </row>
    <row r="137" spans="1:7" x14ac:dyDescent="0.55000000000000004">
      <c r="A137" s="8">
        <f t="shared" si="4"/>
        <v>6.6499999999999875E-3</v>
      </c>
      <c r="B137" s="8" cm="1">
        <f t="array" ref="B137">FAM(A137)</f>
        <v>-0.35575456493543767</v>
      </c>
      <c r="C137" s="14">
        <v>-5.558877043874704E-15</v>
      </c>
      <c r="D137" s="14">
        <v>-0.35575456493543767</v>
      </c>
      <c r="F137" s="18">
        <f t="shared" si="5"/>
        <v>2660</v>
      </c>
      <c r="G137" s="14">
        <v>7.7348225843195027E-24</v>
      </c>
    </row>
    <row r="138" spans="1:7" x14ac:dyDescent="0.55000000000000004">
      <c r="A138" s="8">
        <f t="shared" si="4"/>
        <v>6.6999999999999872E-3</v>
      </c>
      <c r="B138" s="8" cm="1">
        <f t="array" ref="B138">FAM(A138)</f>
        <v>-0.49360424909163414</v>
      </c>
      <c r="C138" s="14">
        <v>1.3462374866123257E-14</v>
      </c>
      <c r="D138" s="14">
        <v>-0.49360424909163408</v>
      </c>
      <c r="F138" s="18">
        <f t="shared" si="5"/>
        <v>2680</v>
      </c>
      <c r="G138" s="14">
        <v>3.5562824494308386E-23</v>
      </c>
    </row>
    <row r="139" spans="1:7" x14ac:dyDescent="0.55000000000000004">
      <c r="A139" s="8">
        <f t="shared" si="4"/>
        <v>6.7499999999999869E-3</v>
      </c>
      <c r="B139" s="8" cm="1">
        <f t="array" ref="B139">FAM(A139)</f>
        <v>-0.34195832008991323</v>
      </c>
      <c r="C139" s="14">
        <v>-5.910222372108639E-15</v>
      </c>
      <c r="D139" s="14">
        <v>-0.34195832008991317</v>
      </c>
      <c r="F139" s="18">
        <f t="shared" si="5"/>
        <v>2700</v>
      </c>
      <c r="G139" s="14">
        <v>4.9999999999985878</v>
      </c>
    </row>
    <row r="140" spans="1:7" x14ac:dyDescent="0.55000000000000004">
      <c r="A140" s="8">
        <f t="shared" si="4"/>
        <v>6.7999999999999866E-3</v>
      </c>
      <c r="B140" s="8" cm="1">
        <f t="array" ref="B140">FAM(A140)</f>
        <v>-1.5325295079924473E-13</v>
      </c>
      <c r="C140" s="14">
        <v>1.3743904479605927E-14</v>
      </c>
      <c r="D140" s="14">
        <v>-1.5326627677768231E-13</v>
      </c>
      <c r="F140" s="18">
        <f t="shared" si="5"/>
        <v>2720</v>
      </c>
      <c r="G140" s="14">
        <v>4.7695532577378622E-23</v>
      </c>
    </row>
    <row r="141" spans="1:7" x14ac:dyDescent="0.55000000000000004">
      <c r="A141" s="8">
        <f t="shared" si="4"/>
        <v>6.8499999999999863E-3</v>
      </c>
      <c r="B141" s="8" cm="1">
        <f t="array" ref="B141">FAM(A141)</f>
        <v>0.32685501868026323</v>
      </c>
      <c r="C141" s="14">
        <v>-5.3631413598288838E-15</v>
      </c>
      <c r="D141" s="14">
        <v>0.32685501868026345</v>
      </c>
      <c r="F141" s="18">
        <f t="shared" si="5"/>
        <v>2740</v>
      </c>
      <c r="G141" s="14">
        <v>7.8538471892040096E-24</v>
      </c>
    </row>
    <row r="142" spans="1:7" x14ac:dyDescent="0.55000000000000004">
      <c r="A142" s="8">
        <f t="shared" si="4"/>
        <v>6.899999999999986E-3</v>
      </c>
      <c r="B142" s="8" cm="1">
        <f t="array" ref="B142">FAM(A142)</f>
        <v>0.45095412400809226</v>
      </c>
      <c r="C142" s="14">
        <v>1.4369814588230241E-14</v>
      </c>
      <c r="D142" s="14">
        <v>0.45095412400809221</v>
      </c>
      <c r="F142" s="18">
        <f t="shared" si="5"/>
        <v>2760</v>
      </c>
      <c r="G142" s="14">
        <v>6.5710575456625583E-24</v>
      </c>
    </row>
    <row r="143" spans="1:7" x14ac:dyDescent="0.55000000000000004">
      <c r="A143" s="8">
        <f t="shared" si="4"/>
        <v>6.9499999999999857E-3</v>
      </c>
      <c r="B143" s="8" cm="1">
        <f t="array" ref="B143">FAM(A143)</f>
        <v>0.31063812131872776</v>
      </c>
      <c r="C143" s="14">
        <v>-5.3741317761063815E-15</v>
      </c>
      <c r="D143" s="14">
        <v>0.31063812131872781</v>
      </c>
      <c r="F143" s="18">
        <f t="shared" si="5"/>
        <v>2780</v>
      </c>
      <c r="G143" s="14">
        <v>5.1026054121792632E-24</v>
      </c>
    </row>
    <row r="144" spans="1:7" x14ac:dyDescent="0.55000000000000004">
      <c r="A144" s="8">
        <f t="shared" si="4"/>
        <v>6.9999999999999854E-3</v>
      </c>
      <c r="B144" s="8" cm="1">
        <f t="array" ref="B144">FAM(A144)</f>
        <v>1.4910071352534888E-13</v>
      </c>
      <c r="C144" s="14">
        <v>1.4728224920838371E-14</v>
      </c>
      <c r="D144" s="14">
        <v>1.4912580263775073E-13</v>
      </c>
      <c r="F144" s="18">
        <f t="shared" si="5"/>
        <v>2800</v>
      </c>
      <c r="G144" s="14">
        <v>3.3922953044004248E-24</v>
      </c>
    </row>
    <row r="145" spans="1:7" x14ac:dyDescent="0.55000000000000004">
      <c r="A145" s="8">
        <f t="shared" si="4"/>
        <v>7.0499999999999851E-3</v>
      </c>
      <c r="B145" s="8" cm="1">
        <f t="array" ref="B145">FAM(A145)</f>
        <v>-0.29352470723283697</v>
      </c>
      <c r="C145" s="14">
        <v>-5.4394748258977923E-15</v>
      </c>
      <c r="D145" s="14">
        <v>-0.29352470723283708</v>
      </c>
      <c r="F145" s="18">
        <f t="shared" si="5"/>
        <v>2820</v>
      </c>
      <c r="G145" s="14">
        <v>2.9711367571534801E-24</v>
      </c>
    </row>
    <row r="146" spans="1:7" x14ac:dyDescent="0.55000000000000004">
      <c r="A146" s="8">
        <f t="shared" si="4"/>
        <v>7.0999999999999848E-3</v>
      </c>
      <c r="B146" s="8" cm="1">
        <f t="array" ref="B146">FAM(A146)</f>
        <v>-0.4026341025946224</v>
      </c>
      <c r="C146" s="14">
        <v>1.509064523505032E-14</v>
      </c>
      <c r="D146" s="14">
        <v>-0.40263410259462251</v>
      </c>
      <c r="F146" s="18">
        <f t="shared" si="5"/>
        <v>2840</v>
      </c>
      <c r="G146" s="14">
        <v>2.705115789525034E-24</v>
      </c>
    </row>
    <row r="147" spans="1:7" x14ac:dyDescent="0.55000000000000004">
      <c r="A147" s="8">
        <f t="shared" si="4"/>
        <v>7.1499999999999845E-3</v>
      </c>
      <c r="B147" s="8" cm="1">
        <f t="array" ref="B147">FAM(A147)</f>
        <v>-0.27575220341616846</v>
      </c>
      <c r="C147" s="14">
        <v>-5.1359573421396634E-15</v>
      </c>
      <c r="D147" s="14">
        <v>-0.27575220341616852</v>
      </c>
      <c r="F147" s="18">
        <f t="shared" si="5"/>
        <v>2860</v>
      </c>
      <c r="G147" s="14">
        <v>2.1330976981716613E-24</v>
      </c>
    </row>
    <row r="148" spans="1:7" x14ac:dyDescent="0.55000000000000004">
      <c r="A148" s="8">
        <f t="shared" si="4"/>
        <v>7.1999999999999842E-3</v>
      </c>
      <c r="B148" s="8" cm="1">
        <f t="array" ref="B148">FAM(A148)</f>
        <v>-1.3565962849622579E-13</v>
      </c>
      <c r="C148" s="14">
        <v>1.5568926080119217E-14</v>
      </c>
      <c r="D148" s="14">
        <v>-1.3567616644602703E-13</v>
      </c>
      <c r="F148" s="18">
        <f t="shared" si="5"/>
        <v>2880</v>
      </c>
      <c r="G148" s="14">
        <v>1.8988135666420275E-24</v>
      </c>
    </row>
    <row r="149" spans="1:7" x14ac:dyDescent="0.55000000000000004">
      <c r="A149" s="8">
        <f t="shared" si="4"/>
        <v>7.2499999999999839E-3</v>
      </c>
      <c r="B149" s="8" cm="1">
        <f t="array" ref="B149">FAM(A149)</f>
        <v>0.25757476837132098</v>
      </c>
      <c r="C149" s="14">
        <v>-5.4150864648213948E-15</v>
      </c>
      <c r="D149" s="14">
        <v>0.25757476837132115</v>
      </c>
      <c r="F149" s="18">
        <f t="shared" si="5"/>
        <v>2900</v>
      </c>
      <c r="G149" s="14">
        <v>1.8058981248396004E-24</v>
      </c>
    </row>
    <row r="150" spans="1:7" x14ac:dyDescent="0.55000000000000004">
      <c r="A150" s="8">
        <f t="shared" si="4"/>
        <v>7.2999999999999836E-3</v>
      </c>
      <c r="B150" s="8" cm="1">
        <f t="array" ref="B150">FAM(A150)</f>
        <v>0.35131503717008178</v>
      </c>
      <c r="C150" s="14">
        <v>1.5850504786573228E-14</v>
      </c>
      <c r="D150" s="14">
        <v>0.35131503717008183</v>
      </c>
      <c r="F150" s="18">
        <f t="shared" si="5"/>
        <v>2920</v>
      </c>
      <c r="G150" s="14">
        <v>1.5275563692933186E-24</v>
      </c>
    </row>
    <row r="151" spans="1:7" x14ac:dyDescent="0.55000000000000004">
      <c r="A151" s="8">
        <f t="shared" si="4"/>
        <v>7.3499999999999833E-3</v>
      </c>
      <c r="B151" s="8" cm="1">
        <f t="array" ref="B151">FAM(A151)</f>
        <v>0.23925938698316496</v>
      </c>
      <c r="C151" s="14">
        <v>-5.4823121841754259E-15</v>
      </c>
      <c r="D151" s="14">
        <v>0.23925938698316496</v>
      </c>
      <c r="F151" s="18">
        <f t="shared" si="5"/>
        <v>2940</v>
      </c>
      <c r="G151" s="14">
        <v>1.3613471446112686E-24</v>
      </c>
    </row>
    <row r="152" spans="1:7" x14ac:dyDescent="0.55000000000000004">
      <c r="A152" s="8">
        <f t="shared" si="4"/>
        <v>7.399999999999983E-3</v>
      </c>
      <c r="B152" s="8" cm="1">
        <f t="array" ref="B152">FAM(A152)</f>
        <v>1.2519570534054827E-13</v>
      </c>
      <c r="C152" s="14">
        <v>1.6019939995444308E-14</v>
      </c>
      <c r="D152" s="14">
        <v>1.2522214991442172E-13</v>
      </c>
      <c r="F152" s="18">
        <f t="shared" si="5"/>
        <v>2960</v>
      </c>
      <c r="G152" s="14">
        <v>1.3186738625598987E-24</v>
      </c>
    </row>
    <row r="153" spans="1:7" x14ac:dyDescent="0.55000000000000004">
      <c r="A153" s="8">
        <f t="shared" si="4"/>
        <v>7.4499999999999827E-3</v>
      </c>
      <c r="B153" s="8" cm="1">
        <f t="array" ref="B153">FAM(A153)</f>
        <v>-0.22108173768886347</v>
      </c>
      <c r="C153" s="36">
        <v>-4.7358646609611075E-15</v>
      </c>
      <c r="D153" s="36">
        <v>-0.22108173768886355</v>
      </c>
      <c r="F153" s="38">
        <f t="shared" si="5"/>
        <v>2980</v>
      </c>
      <c r="G153" s="36">
        <v>1.1914966094914947E-24</v>
      </c>
    </row>
    <row r="154" spans="1:7" x14ac:dyDescent="0.55000000000000004">
      <c r="A154" s="4">
        <f t="shared" si="4"/>
        <v>7.4999999999999824E-3</v>
      </c>
      <c r="B154" s="4" cm="1">
        <f t="array" ref="B154">FAM(A154)</f>
        <v>-0.30000000000000648</v>
      </c>
      <c r="C154" s="13">
        <v>1.679801651923169E-14</v>
      </c>
      <c r="D154" s="13">
        <v>-0.30000000000000654</v>
      </c>
      <c r="F154" s="17">
        <f t="shared" si="5"/>
        <v>3000</v>
      </c>
      <c r="G154" s="13">
        <v>1.0520239924776397E-24</v>
      </c>
    </row>
    <row r="155" spans="1:7" x14ac:dyDescent="0.55000000000000004">
      <c r="A155" s="8">
        <f t="shared" si="4"/>
        <v>7.5499999999999821E-3</v>
      </c>
      <c r="B155" s="8" cm="1">
        <f t="array" ref="B155">FAM(A155)</f>
        <v>-0.20332189682767027</v>
      </c>
      <c r="C155" s="14">
        <v>-4.7416914242397878E-15</v>
      </c>
      <c r="D155" s="14">
        <v>-0.20332189682767027</v>
      </c>
      <c r="F155" s="18">
        <f t="shared" si="5"/>
        <v>3020</v>
      </c>
      <c r="G155" s="14">
        <v>1.01457091460105E-24</v>
      </c>
    </row>
    <row r="156" spans="1:7" x14ac:dyDescent="0.55000000000000004">
      <c r="A156" s="8">
        <f t="shared" si="4"/>
        <v>7.5999999999999818E-3</v>
      </c>
      <c r="B156" s="8" cm="1">
        <f t="array" ref="B156">FAM(A156)</f>
        <v>-1.1279170231920267E-13</v>
      </c>
      <c r="C156" s="14">
        <v>1.7664348317500394E-14</v>
      </c>
      <c r="D156" s="14">
        <v>-1.1280674853435787E-13</v>
      </c>
      <c r="F156" s="18">
        <f t="shared" si="5"/>
        <v>3040</v>
      </c>
      <c r="G156" s="14">
        <v>9.3660659009617866E-25</v>
      </c>
    </row>
    <row r="157" spans="1:7" x14ac:dyDescent="0.55000000000000004">
      <c r="A157" s="8">
        <f t="shared" si="4"/>
        <v>7.6499999999999815E-3</v>
      </c>
      <c r="B157" s="8" cm="1">
        <f t="array" ref="B157">FAM(A157)</f>
        <v>0.18625994769851034</v>
      </c>
      <c r="C157" s="14">
        <v>-5.0859788370819034E-15</v>
      </c>
      <c r="D157" s="14">
        <v>0.18625994769851045</v>
      </c>
      <c r="F157" s="18">
        <f t="shared" si="5"/>
        <v>3060</v>
      </c>
      <c r="G157" s="89">
        <v>8.3255015321798986E-25</v>
      </c>
    </row>
    <row r="158" spans="1:7" x14ac:dyDescent="0.55000000000000004">
      <c r="A158" s="8">
        <f t="shared" si="4"/>
        <v>7.6999999999999812E-3</v>
      </c>
      <c r="B158" s="8" cm="1">
        <f t="array" ref="B158">FAM(A158)</f>
        <v>0.25183908230413959</v>
      </c>
      <c r="C158" s="14">
        <v>1.7536561405001098E-14</v>
      </c>
      <c r="D158" s="14">
        <v>0.25183908230413959</v>
      </c>
      <c r="F158" s="18">
        <f t="shared" si="5"/>
        <v>3080</v>
      </c>
      <c r="G158" s="14">
        <v>8.1502456727198158E-25</v>
      </c>
    </row>
    <row r="159" spans="1:7" x14ac:dyDescent="0.55000000000000004">
      <c r="A159" s="8">
        <f t="shared" si="4"/>
        <v>7.7499999999999809E-3</v>
      </c>
      <c r="B159" s="8" cm="1">
        <f t="array" ref="B159">FAM(A159)</f>
        <v>0.17017156348172732</v>
      </c>
      <c r="C159" s="14">
        <v>-4.5140726959524477E-15</v>
      </c>
      <c r="D159" s="14">
        <v>0.17017156348172729</v>
      </c>
      <c r="F159" s="18">
        <f t="shared" si="5"/>
        <v>3100</v>
      </c>
      <c r="G159" s="14">
        <v>7.720021917279501E-25</v>
      </c>
    </row>
    <row r="160" spans="1:7" x14ac:dyDescent="0.55000000000000004">
      <c r="A160" s="8">
        <f t="shared" si="4"/>
        <v>7.7999999999999806E-3</v>
      </c>
      <c r="B160" s="8" cm="1">
        <f t="array" ref="B160">FAM(A160)</f>
        <v>9.9934731420349226E-14</v>
      </c>
      <c r="C160" s="14">
        <v>1.7987950594369093E-14</v>
      </c>
      <c r="D160" s="14">
        <v>9.9957012683333195E-14</v>
      </c>
      <c r="F160" s="18">
        <f t="shared" si="5"/>
        <v>3120</v>
      </c>
      <c r="G160" s="14">
        <v>6.9756755461811132E-25</v>
      </c>
    </row>
    <row r="161" spans="1:7" x14ac:dyDescent="0.55000000000000004">
      <c r="A161" s="8">
        <f t="shared" si="4"/>
        <v>7.8499999999999803E-3</v>
      </c>
      <c r="B161" s="8" cm="1">
        <f t="array" ref="B161">FAM(A161)</f>
        <v>-0.15532363367421517</v>
      </c>
      <c r="C161" s="14">
        <v>-4.471959738886979E-15</v>
      </c>
      <c r="D161" s="14">
        <v>-0.15532363367421528</v>
      </c>
      <c r="F161" s="18">
        <f t="shared" si="5"/>
        <v>3140</v>
      </c>
      <c r="G161" s="14">
        <v>6.5863037280361641E-25</v>
      </c>
    </row>
    <row r="162" spans="1:7" x14ac:dyDescent="0.55000000000000004">
      <c r="A162" s="8">
        <f t="shared" si="4"/>
        <v>7.89999999999998E-3</v>
      </c>
      <c r="B162" s="8" cm="1">
        <f t="array" ref="B162">FAM(A162)</f>
        <v>-0.20993263295393599</v>
      </c>
      <c r="C162" s="14">
        <v>1.8790237460354577E-14</v>
      </c>
      <c r="D162" s="14">
        <v>-0.20993263295393619</v>
      </c>
      <c r="F162" s="18">
        <f t="shared" si="5"/>
        <v>3160</v>
      </c>
      <c r="G162" s="14">
        <v>6.3695960406468679E-25</v>
      </c>
    </row>
    <row r="163" spans="1:7" x14ac:dyDescent="0.55000000000000004">
      <c r="A163" s="8">
        <f t="shared" si="4"/>
        <v>7.9499999999999797E-3</v>
      </c>
      <c r="B163" s="8" cm="1">
        <f t="array" ref="B163">FAM(A163)</f>
        <v>-0.14197000312456176</v>
      </c>
      <c r="C163" s="14">
        <v>-5.0591003510477024E-15</v>
      </c>
      <c r="D163" s="14">
        <v>-0.14197000312456168</v>
      </c>
      <c r="F163" s="18">
        <f t="shared" si="5"/>
        <v>3180</v>
      </c>
      <c r="G163" s="14">
        <v>5.7236786643778879E-25</v>
      </c>
    </row>
    <row r="164" spans="1:7" x14ac:dyDescent="0.55000000000000004">
      <c r="A164" s="8">
        <f t="shared" si="4"/>
        <v>7.9999999999999793E-3</v>
      </c>
      <c r="B164" s="8" cm="1">
        <f t="array" ref="B164">FAM(A164)</f>
        <v>-8.8358495384759953E-14</v>
      </c>
      <c r="C164" s="14">
        <v>1.9703555538658127E-14</v>
      </c>
      <c r="D164" s="14">
        <v>-8.8367302981112088E-14</v>
      </c>
      <c r="F164" s="18">
        <f t="shared" si="5"/>
        <v>3200</v>
      </c>
      <c r="G164" s="14">
        <v>5.7108303423202901E-25</v>
      </c>
    </row>
    <row r="165" spans="1:7" x14ac:dyDescent="0.55000000000000004">
      <c r="A165" s="8">
        <f t="shared" si="4"/>
        <v>8.049999999999979E-3</v>
      </c>
      <c r="B165" s="8" cm="1">
        <f t="array" ref="B165">FAM(A165)</f>
        <v>0.1303473910616508</v>
      </c>
      <c r="C165" s="14">
        <v>-4.4331541241606566E-15</v>
      </c>
      <c r="D165" s="14">
        <v>0.13034739106165094</v>
      </c>
      <c r="F165" s="18">
        <f t="shared" si="5"/>
        <v>3220</v>
      </c>
      <c r="G165" s="14">
        <v>5.5128995322124544E-25</v>
      </c>
    </row>
    <row r="166" spans="1:7" x14ac:dyDescent="0.55000000000000004">
      <c r="A166" s="8">
        <f t="shared" si="4"/>
        <v>8.0999999999999787E-3</v>
      </c>
      <c r="B166" s="8" cm="1">
        <f t="array" ref="B166">FAM(A166)</f>
        <v>0.17713528163661596</v>
      </c>
      <c r="C166" s="14">
        <v>2.0034118084060864E-14</v>
      </c>
      <c r="D166" s="14">
        <v>0.17713528163661615</v>
      </c>
      <c r="F166" s="18">
        <f t="shared" si="5"/>
        <v>3240</v>
      </c>
      <c r="G166" s="14">
        <v>5.0451729373956495E-25</v>
      </c>
    </row>
    <row r="167" spans="1:7" x14ac:dyDescent="0.55000000000000004">
      <c r="A167" s="8">
        <f t="shared" si="4"/>
        <v>8.1499999999999784E-3</v>
      </c>
      <c r="B167" s="8" cm="1">
        <f t="array" ref="B167">FAM(A167)</f>
        <v>0.12067155479165384</v>
      </c>
      <c r="C167" s="14">
        <v>-3.9214719499610916E-15</v>
      </c>
      <c r="D167" s="14">
        <v>0.12067155479165387</v>
      </c>
      <c r="F167" s="18">
        <f t="shared" si="5"/>
        <v>3260</v>
      </c>
      <c r="G167" s="14">
        <v>4.8459467337403072E-25</v>
      </c>
    </row>
    <row r="168" spans="1:7" x14ac:dyDescent="0.55000000000000004">
      <c r="A168" s="8">
        <f t="shared" si="4"/>
        <v>8.1999999999999781E-3</v>
      </c>
      <c r="B168" s="8" cm="1">
        <f t="array" ref="B168">FAM(A168)</f>
        <v>7.7588362944002411E-14</v>
      </c>
      <c r="C168" s="14">
        <v>2.0288056537249072E-14</v>
      </c>
      <c r="D168" s="14">
        <v>7.7601579879769253E-14</v>
      </c>
      <c r="F168" s="18">
        <f t="shared" si="5"/>
        <v>3280</v>
      </c>
      <c r="G168" s="14">
        <v>4.7416503834025507E-25</v>
      </c>
    </row>
    <row r="169" spans="1:7" x14ac:dyDescent="0.55000000000000004">
      <c r="A169" s="8">
        <f t="shared" si="4"/>
        <v>8.2499999999999778E-3</v>
      </c>
      <c r="B169" s="8" cm="1">
        <f t="array" ref="B169">FAM(A169)</f>
        <v>-0.11313375896267518</v>
      </c>
      <c r="C169" s="14">
        <v>-4.4098413912206885E-15</v>
      </c>
      <c r="D169" s="14">
        <v>-0.1131337589626752</v>
      </c>
      <c r="F169" s="18">
        <f t="shared" si="5"/>
        <v>3300</v>
      </c>
      <c r="G169" s="14">
        <v>4.2926638257234329E-25</v>
      </c>
    </row>
    <row r="170" spans="1:7" x14ac:dyDescent="0.55000000000000004">
      <c r="A170" s="8">
        <f t="shared" si="4"/>
        <v>8.2999999999999775E-3</v>
      </c>
      <c r="B170" s="8" cm="1">
        <f t="array" ref="B170">FAM(A170)</f>
        <v>-0.15587307889082658</v>
      </c>
      <c r="C170" s="14">
        <v>2.1284074015292372E-14</v>
      </c>
      <c r="D170" s="14">
        <v>-0.15587307889082666</v>
      </c>
      <c r="F170" s="18">
        <f t="shared" si="5"/>
        <v>3320</v>
      </c>
      <c r="G170" s="14">
        <v>4.0907424258878911E-25</v>
      </c>
    </row>
    <row r="171" spans="1:7" x14ac:dyDescent="0.55000000000000004">
      <c r="A171" s="8">
        <f t="shared" si="4"/>
        <v>8.3499999999999772E-3</v>
      </c>
      <c r="B171" s="8" cm="1">
        <f t="array" ref="B171">FAM(A171)</f>
        <v>-0.10789760659236083</v>
      </c>
      <c r="C171" s="14">
        <v>-3.8214372500104758E-15</v>
      </c>
      <c r="D171" s="14">
        <v>-0.10789760659236079</v>
      </c>
      <c r="F171" s="18">
        <f t="shared" si="5"/>
        <v>3340</v>
      </c>
      <c r="G171" s="14">
        <v>4.0168557673996516E-25</v>
      </c>
    </row>
    <row r="172" spans="1:7" x14ac:dyDescent="0.55000000000000004">
      <c r="A172" s="8">
        <f t="shared" si="4"/>
        <v>8.3999999999999769E-3</v>
      </c>
      <c r="B172" s="8" cm="1">
        <f t="array" ref="B172">FAM(A172)</f>
        <v>-7.6530458364701121E-14</v>
      </c>
      <c r="C172" s="14">
        <v>2.1382709593918824E-14</v>
      </c>
      <c r="D172" s="14">
        <v>-7.6529475978289686E-14</v>
      </c>
      <c r="F172" s="18">
        <f t="shared" si="5"/>
        <v>3360</v>
      </c>
      <c r="G172" s="14">
        <v>3.8599091945723083E-25</v>
      </c>
    </row>
    <row r="173" spans="1:7" x14ac:dyDescent="0.55000000000000004">
      <c r="A173" s="8">
        <f t="shared" si="4"/>
        <v>8.4499999999999766E-3</v>
      </c>
      <c r="B173" s="8" cm="1">
        <f t="array" ref="B173">FAM(A173)</f>
        <v>0.1050962824299029</v>
      </c>
      <c r="C173" s="14">
        <v>-3.4142066028575194E-15</v>
      </c>
      <c r="D173" s="14">
        <v>0.10509628242990296</v>
      </c>
      <c r="F173" s="18">
        <f t="shared" si="5"/>
        <v>3380</v>
      </c>
      <c r="G173" s="14">
        <v>3.5656922458793911E-25</v>
      </c>
    </row>
    <row r="174" spans="1:7" x14ac:dyDescent="0.55000000000000004">
      <c r="A174" s="8">
        <f t="shared" si="4"/>
        <v>8.4999999999999763E-3</v>
      </c>
      <c r="B174" s="8" cm="1">
        <f t="array" ref="B174">FAM(A174)</f>
        <v>0.14798529786597989</v>
      </c>
      <c r="C174" s="14">
        <v>2.2372839743909175E-14</v>
      </c>
      <c r="D174" s="14">
        <v>0.14798529786597989</v>
      </c>
      <c r="F174" s="18">
        <f t="shared" si="5"/>
        <v>3400</v>
      </c>
      <c r="G174" s="14">
        <v>3.5831305558595621E-25</v>
      </c>
    </row>
    <row r="175" spans="1:7" x14ac:dyDescent="0.55000000000000004">
      <c r="A175" s="8">
        <f t="shared" si="4"/>
        <v>8.549999999999976E-3</v>
      </c>
      <c r="B175" s="8" cm="1">
        <f t="array" ref="B175">FAM(A175)</f>
        <v>0.10483025283001798</v>
      </c>
      <c r="C175" s="14">
        <v>-4.042657627662197E-15</v>
      </c>
      <c r="D175" s="14">
        <v>0.10483025283001798</v>
      </c>
      <c r="F175" s="18">
        <f t="shared" si="5"/>
        <v>3420</v>
      </c>
      <c r="G175" s="14">
        <v>3.4081689493567762E-25</v>
      </c>
    </row>
    <row r="176" spans="1:7" x14ac:dyDescent="0.55000000000000004">
      <c r="A176" s="8">
        <f t="shared" si="4"/>
        <v>8.5999999999999757E-3</v>
      </c>
      <c r="B176" s="8" cm="1">
        <f t="array" ref="B176">FAM(A176)</f>
        <v>7.7769939034269176E-14</v>
      </c>
      <c r="C176" s="14">
        <v>2.3792459400794889E-14</v>
      </c>
      <c r="D176" s="14">
        <v>7.7770982432688281E-14</v>
      </c>
      <c r="F176" s="18">
        <f t="shared" si="5"/>
        <v>3440</v>
      </c>
      <c r="G176" s="14">
        <v>3.1785225081710094E-25</v>
      </c>
    </row>
    <row r="177" spans="1:7" x14ac:dyDescent="0.55000000000000004">
      <c r="A177" s="8">
        <f t="shared" si="4"/>
        <v>8.6499999999999754E-3</v>
      </c>
      <c r="B177" s="8" cm="1">
        <f t="array" ref="B177">FAM(A177)</f>
        <v>-0.10716545919459129</v>
      </c>
      <c r="C177" s="14">
        <v>-2.7157814890609686E-15</v>
      </c>
      <c r="D177" s="14">
        <v>-0.10716545919459126</v>
      </c>
      <c r="F177" s="18">
        <f t="shared" si="5"/>
        <v>3460</v>
      </c>
      <c r="G177" s="14">
        <v>3.1106913822450704E-25</v>
      </c>
    </row>
    <row r="178" spans="1:7" x14ac:dyDescent="0.55000000000000004">
      <c r="A178" s="8">
        <f t="shared" si="4"/>
        <v>8.6999999999999751E-3</v>
      </c>
      <c r="B178" s="8" cm="1">
        <f t="array" ref="B178">FAM(A178)</f>
        <v>-0.15460092883006096</v>
      </c>
      <c r="C178" s="14">
        <v>2.440338213098111E-14</v>
      </c>
      <c r="D178" s="14">
        <v>-0.15460092883006096</v>
      </c>
      <c r="F178" s="18">
        <f t="shared" si="5"/>
        <v>3480</v>
      </c>
      <c r="G178" s="14">
        <v>3.0675818473668753E-25</v>
      </c>
    </row>
    <row r="179" spans="1:7" x14ac:dyDescent="0.55000000000000004">
      <c r="A179" s="8">
        <f t="shared" si="4"/>
        <v>8.7499999999999748E-3</v>
      </c>
      <c r="B179" s="8" cm="1">
        <f t="array" ref="B179">FAM(A179)</f>
        <v>-0.11213203435602136</v>
      </c>
      <c r="C179" s="14">
        <v>-2.4614750054016079E-15</v>
      </c>
      <c r="D179" s="14">
        <v>-0.11213203435602126</v>
      </c>
      <c r="F179" s="18">
        <f t="shared" si="5"/>
        <v>3500</v>
      </c>
      <c r="G179" s="14">
        <v>2.9393606042019281E-25</v>
      </c>
    </row>
    <row r="180" spans="1:7" x14ac:dyDescent="0.55000000000000004">
      <c r="A180" s="8">
        <f t="shared" si="4"/>
        <v>8.7999999999999745E-3</v>
      </c>
      <c r="B180" s="8" cm="1">
        <f t="array" ref="B180">FAM(A180)</f>
        <v>-8.684173249146513E-14</v>
      </c>
      <c r="C180" s="14">
        <v>2.465821081313719E-14</v>
      </c>
      <c r="D180" s="14">
        <v>-8.6829569076634659E-14</v>
      </c>
      <c r="F180" s="18">
        <f t="shared" si="5"/>
        <v>3520</v>
      </c>
      <c r="G180" s="14">
        <v>2.8049865473901928E-25</v>
      </c>
    </row>
    <row r="181" spans="1:7" x14ac:dyDescent="0.55000000000000004">
      <c r="A181" s="8">
        <f t="shared" si="4"/>
        <v>8.8499999999999742E-3</v>
      </c>
      <c r="B181" s="8" cm="1">
        <f t="array" ref="B181">FAM(A181)</f>
        <v>0.11972356310044083</v>
      </c>
      <c r="C181" s="14">
        <v>-2.14548106613994E-15</v>
      </c>
      <c r="D181" s="14">
        <v>0.11972356310044102</v>
      </c>
      <c r="F181" s="18">
        <f t="shared" si="5"/>
        <v>3540</v>
      </c>
      <c r="G181" s="14">
        <v>2.7132566140398635E-25</v>
      </c>
    </row>
    <row r="182" spans="1:7" x14ac:dyDescent="0.55000000000000004">
      <c r="A182" s="8">
        <f t="shared" si="4"/>
        <v>8.8999999999999739E-3</v>
      </c>
      <c r="B182" s="8" cm="1">
        <f t="array" ref="B182">FAM(A182)</f>
        <v>0.17605775190451925</v>
      </c>
      <c r="C182" s="14">
        <v>2.580034812704493E-14</v>
      </c>
      <c r="D182" s="14">
        <v>0.17605775190451933</v>
      </c>
      <c r="F182" s="38">
        <f t="shared" si="5"/>
        <v>3560</v>
      </c>
      <c r="G182" s="14">
        <v>2.5550805456373567E-25</v>
      </c>
    </row>
    <row r="183" spans="1:7" x14ac:dyDescent="0.55000000000000004">
      <c r="A183" s="8">
        <f t="shared" si="4"/>
        <v>8.9499999999999736E-3</v>
      </c>
      <c r="B183" s="8" cm="1">
        <f t="array" ref="B183">FAM(A183)</f>
        <v>0.1298968995428946</v>
      </c>
      <c r="C183" s="14">
        <v>-3.0152282642453277E-15</v>
      </c>
      <c r="D183" s="14">
        <v>0.12989689954289468</v>
      </c>
      <c r="F183" s="18">
        <f t="shared" si="5"/>
        <v>3580</v>
      </c>
      <c r="G183" s="14">
        <v>2.5802491152795871E-25</v>
      </c>
    </row>
    <row r="184" spans="1:7" x14ac:dyDescent="0.55000000000000004">
      <c r="A184" s="8">
        <f t="shared" si="4"/>
        <v>8.9999999999999733E-3</v>
      </c>
      <c r="B184" s="8" cm="1">
        <f t="array" ref="B184">FAM(A184)</f>
        <v>1.0964746729654017E-13</v>
      </c>
      <c r="C184" s="14">
        <v>2.6255073658894235E-14</v>
      </c>
      <c r="D184" s="14">
        <v>1.0963577884696975E-13</v>
      </c>
      <c r="F184" s="18">
        <f t="shared" si="5"/>
        <v>3600</v>
      </c>
      <c r="G184" s="14">
        <v>2.4955448584462854E-25</v>
      </c>
    </row>
    <row r="185" spans="1:7" x14ac:dyDescent="0.55000000000000004">
      <c r="A185" s="8">
        <f t="shared" si="4"/>
        <v>9.049999999999973E-3</v>
      </c>
      <c r="B185" s="8" cm="1">
        <f t="array" ref="B185">FAM(A185)</f>
        <v>-0.1425725453470145</v>
      </c>
      <c r="C185" s="14">
        <v>-1.9618357273711569E-15</v>
      </c>
      <c r="D185" s="14">
        <v>-0.14257254534701452</v>
      </c>
      <c r="F185" s="18">
        <f t="shared" si="5"/>
        <v>3620</v>
      </c>
      <c r="G185" s="14">
        <v>2.3765343331630025E-25</v>
      </c>
    </row>
    <row r="186" spans="1:7" x14ac:dyDescent="0.55000000000000004">
      <c r="A186" s="8">
        <f t="shared" si="4"/>
        <v>9.0999999999999727E-3</v>
      </c>
      <c r="B186" s="8" cm="1">
        <f t="array" ref="B186">FAM(A186)</f>
        <v>-0.21186923051098902</v>
      </c>
      <c r="C186" s="14">
        <v>2.7108905788577451E-14</v>
      </c>
      <c r="D186" s="14">
        <v>-0.21186923051098921</v>
      </c>
      <c r="F186" s="18">
        <f t="shared" si="5"/>
        <v>3640</v>
      </c>
      <c r="G186" s="14">
        <v>2.2950275621558974E-25</v>
      </c>
    </row>
    <row r="187" spans="1:7" x14ac:dyDescent="0.55000000000000004">
      <c r="A187" s="8">
        <f t="shared" si="4"/>
        <v>9.1499999999999724E-3</v>
      </c>
      <c r="B187" s="8" cm="1">
        <f t="array" ref="B187">FAM(A187)</f>
        <v>-0.15763558402536415</v>
      </c>
      <c r="C187" s="14">
        <v>-1.7421759590285103E-15</v>
      </c>
      <c r="D187" s="14">
        <v>-0.15763558402536412</v>
      </c>
      <c r="F187" s="18">
        <f t="shared" si="5"/>
        <v>3660</v>
      </c>
      <c r="G187" s="14">
        <v>2.2152170028945779E-25</v>
      </c>
    </row>
    <row r="188" spans="1:7" x14ac:dyDescent="0.55000000000000004">
      <c r="A188" s="8">
        <f t="shared" si="4"/>
        <v>9.1999999999999721E-3</v>
      </c>
      <c r="B188" s="8" cm="1">
        <f t="array" ref="B188">FAM(A188)</f>
        <v>-1.3644993364640295E-13</v>
      </c>
      <c r="C188" s="14">
        <v>2.8705742602120409E-14</v>
      </c>
      <c r="D188" s="14">
        <v>-1.3642780527685129E-13</v>
      </c>
      <c r="F188" s="18">
        <f t="shared" si="5"/>
        <v>3680</v>
      </c>
      <c r="G188" s="14">
        <v>2.1863763199665414E-25</v>
      </c>
    </row>
    <row r="189" spans="1:7" x14ac:dyDescent="0.55000000000000004">
      <c r="A189" s="8">
        <f t="shared" si="4"/>
        <v>9.2499999999999718E-3</v>
      </c>
      <c r="B189" s="8" cm="1">
        <f t="array" ref="B189">FAM(A189)</f>
        <v>0.17493715783760733</v>
      </c>
      <c r="C189" s="14">
        <v>-2.3754259911297079E-15</v>
      </c>
      <c r="D189" s="14">
        <v>0.17493715783760752</v>
      </c>
      <c r="F189" s="18">
        <f t="shared" si="5"/>
        <v>3700</v>
      </c>
      <c r="G189" s="14">
        <v>2.1816995506718063E-25</v>
      </c>
    </row>
    <row r="190" spans="1:7" x14ac:dyDescent="0.55000000000000004">
      <c r="A190" s="8">
        <f t="shared" si="4"/>
        <v>9.2999999999999715E-3</v>
      </c>
      <c r="B190" s="8" cm="1">
        <f t="array" ref="B190">FAM(A190)</f>
        <v>0.26074149313181738</v>
      </c>
      <c r="C190" s="14">
        <v>2.9505372532287927E-14</v>
      </c>
      <c r="D190" s="14">
        <v>0.26074149313181744</v>
      </c>
      <c r="F190" s="18">
        <f t="shared" si="5"/>
        <v>3720</v>
      </c>
      <c r="G190" s="14">
        <v>2.0473153730524743E-25</v>
      </c>
    </row>
    <row r="191" spans="1:7" x14ac:dyDescent="0.55000000000000004">
      <c r="A191" s="8">
        <f t="shared" si="4"/>
        <v>9.3499999999999712E-3</v>
      </c>
      <c r="B191" s="8" cm="1">
        <f t="array" ref="B191">FAM(A191)</f>
        <v>0.19429646532864248</v>
      </c>
      <c r="C191" s="14">
        <v>-1.0771453533799734E-15</v>
      </c>
      <c r="D191" s="14">
        <v>0.19429646532864253</v>
      </c>
      <c r="F191" s="18">
        <f t="shared" si="5"/>
        <v>3740</v>
      </c>
      <c r="G191" s="14">
        <v>2.0394131293570306E-25</v>
      </c>
    </row>
    <row r="192" spans="1:7" x14ac:dyDescent="0.55000000000000004">
      <c r="A192" s="8">
        <f t="shared" si="4"/>
        <v>9.3999999999999709E-3</v>
      </c>
      <c r="B192" s="8" cm="1">
        <f t="array" ref="B192">FAM(A192)</f>
        <v>1.7957735264648509E-13</v>
      </c>
      <c r="C192" s="14">
        <v>3.0368662448766683E-14</v>
      </c>
      <c r="D192" s="14">
        <v>1.7955508191827377E-13</v>
      </c>
      <c r="F192" s="18">
        <f t="shared" si="5"/>
        <v>3760</v>
      </c>
      <c r="G192" s="14">
        <v>1.8709919943107494E-25</v>
      </c>
    </row>
    <row r="193" spans="1:7" x14ac:dyDescent="0.55000000000000004">
      <c r="A193" s="8">
        <f t="shared" si="4"/>
        <v>9.4499999999999706E-3</v>
      </c>
      <c r="B193" s="8" cm="1">
        <f t="array" ref="B193">FAM(A193)</f>
        <v>-0.21550324937457946</v>
      </c>
      <c r="C193" s="14">
        <v>-7.4775877831940325E-17</v>
      </c>
      <c r="D193" s="14">
        <v>-0.21550324937457951</v>
      </c>
      <c r="F193" s="18">
        <f t="shared" si="5"/>
        <v>3780</v>
      </c>
      <c r="G193" s="14">
        <v>1.8313337943163102E-25</v>
      </c>
    </row>
    <row r="194" spans="1:7" x14ac:dyDescent="0.55000000000000004">
      <c r="A194" s="8">
        <f t="shared" si="4"/>
        <v>9.4999999999999703E-3</v>
      </c>
      <c r="B194" s="8" cm="1">
        <f t="array" ref="B194">FAM(A194)</f>
        <v>-0.32063955066650296</v>
      </c>
      <c r="C194" s="14">
        <v>3.2312149941982109E-14</v>
      </c>
      <c r="D194" s="14">
        <v>-0.32063955066650296</v>
      </c>
      <c r="F194" s="18">
        <f t="shared" si="5"/>
        <v>3800</v>
      </c>
      <c r="G194" s="14">
        <v>1.9497895367031828E-25</v>
      </c>
    </row>
    <row r="195" spans="1:7" x14ac:dyDescent="0.55000000000000004">
      <c r="A195" s="8">
        <f t="shared" si="4"/>
        <v>9.54999999999997E-3</v>
      </c>
      <c r="B195" s="8" cm="1">
        <f t="array" ref="B195">FAM(A195)</f>
        <v>-0.23832073794497874</v>
      </c>
      <c r="C195" s="14">
        <v>-6.3599302589590662E-16</v>
      </c>
      <c r="D195" s="14">
        <v>-0.23832073794497885</v>
      </c>
      <c r="F195" s="18">
        <f t="shared" si="5"/>
        <v>3820</v>
      </c>
      <c r="G195" s="14">
        <v>1.7036296445281207E-25</v>
      </c>
    </row>
    <row r="196" spans="1:7" x14ac:dyDescent="0.55000000000000004">
      <c r="A196" s="8">
        <f t="shared" si="4"/>
        <v>9.5999999999999697E-3</v>
      </c>
      <c r="B196" s="8" cm="1">
        <f t="array" ref="B196">FAM(A196)</f>
        <v>-2.2337320162193355E-13</v>
      </c>
      <c r="C196" s="14">
        <v>3.3035653420747601E-14</v>
      </c>
      <c r="D196" s="14">
        <v>-2.2334474331064779E-13</v>
      </c>
      <c r="F196" s="18">
        <f t="shared" si="5"/>
        <v>3840</v>
      </c>
      <c r="G196" s="14">
        <v>1.7832202157982522E-25</v>
      </c>
    </row>
    <row r="197" spans="1:7" x14ac:dyDescent="0.55000000000000004">
      <c r="A197" s="8">
        <f t="shared" si="4"/>
        <v>9.6499999999999694E-3</v>
      </c>
      <c r="B197" s="8" cm="1">
        <f t="array" ref="B197">FAM(A197)</f>
        <v>0.26248899266990205</v>
      </c>
      <c r="C197" s="14">
        <v>5.3973710379088696E-16</v>
      </c>
      <c r="D197" s="14">
        <v>0.26248899266990217</v>
      </c>
      <c r="F197" s="18">
        <f t="shared" si="5"/>
        <v>3860</v>
      </c>
      <c r="G197" s="14">
        <v>1.6880528514521119E-25</v>
      </c>
    </row>
    <row r="198" spans="1:7" x14ac:dyDescent="0.55000000000000004">
      <c r="A198" s="8">
        <f t="shared" ref="A198:A261" si="6">A197+0.00005</f>
        <v>9.6999999999999691E-3</v>
      </c>
      <c r="B198" s="8" cm="1">
        <f t="array" ref="B198">FAM(A198)</f>
        <v>0.3888988265459048</v>
      </c>
      <c r="C198" s="14">
        <v>3.3955408445209506E-14</v>
      </c>
      <c r="D198" s="14">
        <v>0.38889882654590491</v>
      </c>
      <c r="F198" s="18">
        <f t="shared" ref="F198:F261" si="7">20000/1000+F197</f>
        <v>3880</v>
      </c>
      <c r="G198" s="14">
        <v>1.4556169611180074E-25</v>
      </c>
    </row>
    <row r="199" spans="1:7" x14ac:dyDescent="0.55000000000000004">
      <c r="A199" s="8">
        <f t="shared" si="6"/>
        <v>9.7499999999999688E-3</v>
      </c>
      <c r="B199" s="8" cm="1">
        <f t="array" ref="B199">FAM(A199)</f>
        <v>0.28772861394031751</v>
      </c>
      <c r="C199" s="14">
        <v>1.9002321744238662E-15</v>
      </c>
      <c r="D199" s="14">
        <v>0.28772861394031762</v>
      </c>
      <c r="F199" s="18">
        <f t="shared" si="7"/>
        <v>3900</v>
      </c>
      <c r="G199" s="14">
        <v>1.6947116197509966E-25</v>
      </c>
    </row>
    <row r="200" spans="1:7" x14ac:dyDescent="0.55000000000000004">
      <c r="A200" s="8">
        <f t="shared" si="6"/>
        <v>9.7999999999999685E-3</v>
      </c>
      <c r="B200" s="8" cm="1">
        <f t="array" ref="B200">FAM(A200)</f>
        <v>2.7294843896945366E-13</v>
      </c>
      <c r="C200" s="14">
        <v>3.5900230667809922E-14</v>
      </c>
      <c r="D200" s="14">
        <v>2.7291995825959833E-13</v>
      </c>
      <c r="F200" s="18">
        <f t="shared" si="7"/>
        <v>3920</v>
      </c>
      <c r="G200" s="14">
        <v>1.5511325160795041E-25</v>
      </c>
    </row>
    <row r="201" spans="1:7" x14ac:dyDescent="0.55000000000000004">
      <c r="A201" s="8">
        <f t="shared" si="6"/>
        <v>9.8499999999999682E-3</v>
      </c>
      <c r="B201" s="8" cm="1">
        <f t="array" ref="B201">FAM(A201)</f>
        <v>-0.31374474564809851</v>
      </c>
      <c r="C201" s="14">
        <v>1.5608982029205515E-15</v>
      </c>
      <c r="D201" s="14">
        <v>-0.31374474564809857</v>
      </c>
      <c r="F201" s="18">
        <f t="shared" si="7"/>
        <v>3940</v>
      </c>
      <c r="G201" s="14">
        <v>1.8208709859803985E-25</v>
      </c>
    </row>
    <row r="202" spans="1:7" x14ac:dyDescent="0.55000000000000004">
      <c r="A202" s="8">
        <f t="shared" si="6"/>
        <v>9.8999999999999679E-3</v>
      </c>
      <c r="B202" s="8" cm="1">
        <f t="array" ref="B202">FAM(A202)</f>
        <v>-0.46237524938126068</v>
      </c>
      <c r="C202" s="14">
        <v>3.7858625599013852E-14</v>
      </c>
      <c r="D202" s="14">
        <v>-0.46237524938126084</v>
      </c>
      <c r="F202" s="18">
        <f t="shared" si="7"/>
        <v>3960</v>
      </c>
      <c r="G202" s="14">
        <v>1.4284471870462927E-25</v>
      </c>
    </row>
    <row r="203" spans="1:7" x14ac:dyDescent="0.55000000000000004">
      <c r="A203" s="8">
        <f t="shared" si="6"/>
        <v>9.9499999999999676E-3</v>
      </c>
      <c r="B203" s="8" cm="1">
        <f t="array" ref="B203">FAM(A203)</f>
        <v>-0.34023131801354017</v>
      </c>
      <c r="C203" s="36">
        <v>2.5985427241715226E-15</v>
      </c>
      <c r="D203" s="36">
        <v>-0.34023131801354023</v>
      </c>
      <c r="F203" s="38">
        <f t="shared" si="7"/>
        <v>3980</v>
      </c>
      <c r="G203" s="36">
        <v>1.5559828797233319E-25</v>
      </c>
    </row>
    <row r="204" spans="1:7" x14ac:dyDescent="0.55000000000000004">
      <c r="A204" s="4">
        <f t="shared" si="6"/>
        <v>9.9999999999999672E-3</v>
      </c>
      <c r="B204" s="4" cm="1">
        <f t="array" ref="B204">FAM(A204)</f>
        <v>-3.4056941648390499E-13</v>
      </c>
      <c r="C204" s="13">
        <v>3.8503538111561107E-14</v>
      </c>
      <c r="D204" s="13">
        <v>-3.4053989849635288E-13</v>
      </c>
      <c r="F204" s="17">
        <f t="shared" si="7"/>
        <v>4000</v>
      </c>
      <c r="G204" s="13">
        <v>1.4910807253062238E-25</v>
      </c>
    </row>
    <row r="205" spans="1:7" x14ac:dyDescent="0.55000000000000004">
      <c r="A205" s="8">
        <f t="shared" si="6"/>
        <v>1.0049999999999967E-2</v>
      </c>
      <c r="B205" s="8" cm="1">
        <f t="array" ref="B205">FAM(A205)</f>
        <v>0.36687546317296443</v>
      </c>
      <c r="C205" s="14">
        <v>5.1337122129694215E-15</v>
      </c>
      <c r="D205" s="14">
        <v>0.36687546317296477</v>
      </c>
      <c r="F205" s="18">
        <f t="shared" si="7"/>
        <v>4020</v>
      </c>
      <c r="G205" s="14">
        <v>1.3522454771502555E-25</v>
      </c>
    </row>
    <row r="206" spans="1:7" x14ac:dyDescent="0.55000000000000004">
      <c r="A206" s="8">
        <f t="shared" si="6"/>
        <v>1.0099999999999967E-2</v>
      </c>
      <c r="B206" s="8" cm="1">
        <f t="array" ref="B206">FAM(A206)</f>
        <v>0.53762475061870729</v>
      </c>
      <c r="C206" s="14">
        <v>4.0741824107107285E-14</v>
      </c>
      <c r="D206" s="14">
        <v>0.53762475061870751</v>
      </c>
      <c r="F206" s="18">
        <f t="shared" si="7"/>
        <v>4040</v>
      </c>
      <c r="G206" s="14">
        <v>1.3572947953112977E-25</v>
      </c>
    </row>
    <row r="207" spans="1:7" x14ac:dyDescent="0.55000000000000004">
      <c r="A207" s="8">
        <f t="shared" si="6"/>
        <v>1.0149999999999966E-2</v>
      </c>
      <c r="B207" s="8" cm="1">
        <f t="array" ref="B207">FAM(A207)</f>
        <v>0.39336203553848648</v>
      </c>
      <c r="C207" s="14">
        <v>5.0389321819953681E-15</v>
      </c>
      <c r="D207" s="14">
        <v>0.3933620355384867</v>
      </c>
      <c r="F207" s="18">
        <f t="shared" si="7"/>
        <v>4060</v>
      </c>
      <c r="G207" s="14">
        <v>1.4143851614100045E-25</v>
      </c>
    </row>
    <row r="208" spans="1:7" x14ac:dyDescent="0.55000000000000004">
      <c r="A208" s="8">
        <f t="shared" si="6"/>
        <v>1.0199999999999966E-2</v>
      </c>
      <c r="B208" s="8" cm="1">
        <f t="array" ref="B208">FAM(A208)</f>
        <v>3.9771849289202552E-13</v>
      </c>
      <c r="C208" s="14">
        <v>4.3538395704537009E-14</v>
      </c>
      <c r="D208" s="14">
        <v>3.9768938703073348E-13</v>
      </c>
      <c r="F208" s="18">
        <f t="shared" si="7"/>
        <v>4080</v>
      </c>
      <c r="G208" s="89">
        <v>1.2955778415514217E-25</v>
      </c>
    </row>
    <row r="209" spans="1:7" x14ac:dyDescent="0.55000000000000004">
      <c r="A209" s="8">
        <f t="shared" si="6"/>
        <v>1.0249999999999966E-2</v>
      </c>
      <c r="B209" s="8" cm="1">
        <f t="array" ref="B209">FAM(A209)</f>
        <v>-0.41937816724610066</v>
      </c>
      <c r="C209" s="14">
        <v>6.0973406111127432E-15</v>
      </c>
      <c r="D209" s="14">
        <v>-0.41937816724610077</v>
      </c>
      <c r="F209" s="18">
        <f t="shared" si="7"/>
        <v>4100</v>
      </c>
      <c r="G209" s="14">
        <v>1.2641592084109028E-25</v>
      </c>
    </row>
    <row r="210" spans="1:7" x14ac:dyDescent="0.55000000000000004">
      <c r="A210" s="8">
        <f t="shared" si="6"/>
        <v>1.0299999999999965E-2</v>
      </c>
      <c r="B210" s="8" cm="1">
        <f t="array" ref="B210">FAM(A210)</f>
        <v>-0.61110117345406467</v>
      </c>
      <c r="C210" s="14">
        <v>4.4027527124487968E-14</v>
      </c>
      <c r="D210" s="14">
        <v>-0.61110117345406467</v>
      </c>
      <c r="F210" s="18">
        <f t="shared" si="7"/>
        <v>4120</v>
      </c>
      <c r="G210" s="14">
        <v>1.3411679966951517E-25</v>
      </c>
    </row>
    <row r="211" spans="1:7" x14ac:dyDescent="0.55000000000000004">
      <c r="A211" s="8">
        <f t="shared" si="6"/>
        <v>1.0349999999999965E-2</v>
      </c>
      <c r="B211" s="8" cm="1">
        <f t="array" ref="B211">FAM(A211)</f>
        <v>-0.44461778851678146</v>
      </c>
      <c r="C211" s="14">
        <v>9.5031614832448682E-15</v>
      </c>
      <c r="D211" s="14">
        <v>-0.44461778851678174</v>
      </c>
      <c r="F211" s="18">
        <f t="shared" si="7"/>
        <v>4140</v>
      </c>
      <c r="G211" s="14">
        <v>1.1729277446815038E-25</v>
      </c>
    </row>
    <row r="212" spans="1:7" x14ac:dyDescent="0.55000000000000004">
      <c r="A212" s="8">
        <f t="shared" si="6"/>
        <v>1.0399999999999965E-2</v>
      </c>
      <c r="B212" s="8" cm="1">
        <f t="array" ref="B212">FAM(A212)</f>
        <v>-4.7236951243295864E-13</v>
      </c>
      <c r="C212" s="14">
        <v>4.6385877499922697E-14</v>
      </c>
      <c r="D212" s="14">
        <v>-4.7234464770569971E-13</v>
      </c>
      <c r="F212" s="18">
        <f t="shared" si="7"/>
        <v>4160</v>
      </c>
      <c r="G212" s="14">
        <v>1.2304353993909278E-25</v>
      </c>
    </row>
    <row r="213" spans="1:7" x14ac:dyDescent="0.55000000000000004">
      <c r="A213" s="8">
        <f t="shared" si="6"/>
        <v>1.0449999999999965E-2</v>
      </c>
      <c r="B213" s="8" cm="1">
        <f t="array" ref="B213">FAM(A213)</f>
        <v>0.46878604324135409</v>
      </c>
      <c r="C213" s="14">
        <v>1.0646034620410963E-14</v>
      </c>
      <c r="D213" s="14">
        <v>0.46878604324135431</v>
      </c>
      <c r="F213" s="18">
        <f t="shared" si="7"/>
        <v>4180</v>
      </c>
      <c r="G213" s="14">
        <v>1.2378033819260468E-25</v>
      </c>
    </row>
    <row r="214" spans="1:7" x14ac:dyDescent="0.55000000000000004">
      <c r="A214" s="8">
        <f t="shared" si="6"/>
        <v>1.0499999999999964E-2</v>
      </c>
      <c r="B214" s="8" cm="1">
        <f t="array" ref="B214">FAM(A214)</f>
        <v>0.67936044933346895</v>
      </c>
      <c r="C214" s="14">
        <v>5.0732125420449772E-14</v>
      </c>
      <c r="D214" s="14">
        <v>0.67936044933346895</v>
      </c>
      <c r="F214" s="18">
        <f t="shared" si="7"/>
        <v>4200</v>
      </c>
      <c r="G214" s="14">
        <v>1.1475083449930386E-25</v>
      </c>
    </row>
    <row r="215" spans="1:7" x14ac:dyDescent="0.55000000000000004">
      <c r="A215" s="8">
        <f t="shared" si="6"/>
        <v>1.0549999999999964E-2</v>
      </c>
      <c r="B215" s="8" cm="1">
        <f t="array" ref="B215">FAM(A215)</f>
        <v>0.49160353181217792</v>
      </c>
      <c r="C215" s="14">
        <v>1.2117978060882277E-14</v>
      </c>
      <c r="D215" s="14">
        <v>0.49160353181217814</v>
      </c>
      <c r="F215" s="18">
        <f t="shared" si="7"/>
        <v>4220</v>
      </c>
      <c r="G215" s="14">
        <v>1.1830028847443671E-25</v>
      </c>
    </row>
    <row r="216" spans="1:7" x14ac:dyDescent="0.55000000000000004">
      <c r="A216" s="8">
        <f t="shared" si="6"/>
        <v>1.0599999999999964E-2</v>
      </c>
      <c r="B216" s="8" cm="1">
        <f t="array" ref="B216">FAM(A216)</f>
        <v>5.2714709724432279E-13</v>
      </c>
      <c r="C216" s="14">
        <v>5.1964508240760547E-14</v>
      </c>
      <c r="D216" s="14">
        <v>5.271228737774193E-13</v>
      </c>
      <c r="F216" s="18">
        <f t="shared" si="7"/>
        <v>4240</v>
      </c>
      <c r="G216" s="14">
        <v>1.1632967771052943E-25</v>
      </c>
    </row>
    <row r="217" spans="1:7" x14ac:dyDescent="0.55000000000000004">
      <c r="A217" s="8">
        <f t="shared" si="6"/>
        <v>1.0649999999999963E-2</v>
      </c>
      <c r="B217" s="8" cm="1">
        <f t="array" ref="B217">FAM(A217)</f>
        <v>-0.51281031585762549</v>
      </c>
      <c r="C217" s="14">
        <v>1.7772477599744338E-14</v>
      </c>
      <c r="D217" s="14">
        <v>-0.5128103158576256</v>
      </c>
      <c r="F217" s="18">
        <f t="shared" si="7"/>
        <v>4260</v>
      </c>
      <c r="G217" s="14">
        <v>1.0629313340461995E-25</v>
      </c>
    </row>
    <row r="218" spans="1:7" x14ac:dyDescent="0.55000000000000004">
      <c r="A218" s="8">
        <f t="shared" si="6"/>
        <v>1.0699999999999963E-2</v>
      </c>
      <c r="B218" s="8" cm="1">
        <f t="array" ref="B218">FAM(A218)</f>
        <v>-0.73925850686815919</v>
      </c>
      <c r="C218" s="14">
        <v>5.3520191910731798E-14</v>
      </c>
      <c r="D218" s="14">
        <v>-0.73925850686815897</v>
      </c>
      <c r="F218" s="18">
        <f t="shared" si="7"/>
        <v>4280</v>
      </c>
      <c r="G218" s="14">
        <v>1.1012928240549721E-25</v>
      </c>
    </row>
    <row r="219" spans="1:7" x14ac:dyDescent="0.55000000000000004">
      <c r="A219" s="8">
        <f t="shared" si="6"/>
        <v>1.0749999999999963E-2</v>
      </c>
      <c r="B219" s="8" cm="1">
        <f t="array" ref="B219">FAM(A219)</f>
        <v>-0.53216962334922147</v>
      </c>
      <c r="C219" s="14">
        <v>2.2378318100928768E-14</v>
      </c>
      <c r="D219" s="14">
        <v>-0.53216962334922158</v>
      </c>
      <c r="F219" s="18">
        <f t="shared" si="7"/>
        <v>4300</v>
      </c>
      <c r="G219" s="14">
        <v>1.0865905279939683E-25</v>
      </c>
    </row>
    <row r="220" spans="1:7" x14ac:dyDescent="0.55000000000000004">
      <c r="A220" s="8">
        <f t="shared" si="6"/>
        <v>1.0799999999999962E-2</v>
      </c>
      <c r="B220" s="8" cm="1">
        <f t="array" ref="B220">FAM(A220)</f>
        <v>-5.7596528874596193E-13</v>
      </c>
      <c r="C220" s="14">
        <v>5.9976085656903729E-14</v>
      </c>
      <c r="D220" s="14">
        <v>-5.7594991945151412E-13</v>
      </c>
      <c r="F220" s="18">
        <f t="shared" si="7"/>
        <v>4320</v>
      </c>
      <c r="G220" s="14">
        <v>1.038492494996145E-25</v>
      </c>
    </row>
    <row r="221" spans="1:7" x14ac:dyDescent="0.55000000000000004">
      <c r="A221" s="8">
        <f t="shared" si="6"/>
        <v>1.0849999999999962E-2</v>
      </c>
      <c r="B221" s="8" cm="1">
        <f t="array" ref="B221">FAM(A221)</f>
        <v>0.54947119716082993</v>
      </c>
      <c r="C221" s="14">
        <v>2.4441307197608596E-14</v>
      </c>
      <c r="D221" s="14">
        <v>0.54947119716083015</v>
      </c>
      <c r="F221" s="18">
        <f t="shared" si="7"/>
        <v>4340</v>
      </c>
      <c r="G221" s="14">
        <v>1.0630150402869832E-25</v>
      </c>
    </row>
    <row r="222" spans="1:7" x14ac:dyDescent="0.55000000000000004">
      <c r="A222" s="8">
        <f t="shared" si="6"/>
        <v>1.0899999999999962E-2</v>
      </c>
      <c r="B222" s="8" cm="1">
        <f t="array" ref="B222">FAM(A222)</f>
        <v>0.78813076948899274</v>
      </c>
      <c r="C222" s="14">
        <v>6.2558707462525506E-14</v>
      </c>
      <c r="D222" s="14">
        <v>0.78813076948899263</v>
      </c>
      <c r="F222" s="18">
        <f t="shared" si="7"/>
        <v>4360</v>
      </c>
      <c r="G222" s="14">
        <v>1.0097959024167666E-25</v>
      </c>
    </row>
    <row r="223" spans="1:7" x14ac:dyDescent="0.55000000000000004">
      <c r="A223" s="8">
        <f t="shared" si="6"/>
        <v>1.0949999999999962E-2</v>
      </c>
      <c r="B223" s="8" cm="1">
        <f t="array" ref="B223">FAM(A223)</f>
        <v>0.56453423583988505</v>
      </c>
      <c r="C223" s="14">
        <v>3.4759978798865314E-14</v>
      </c>
      <c r="D223" s="14">
        <v>0.56453423583988516</v>
      </c>
      <c r="F223" s="18">
        <f t="shared" si="7"/>
        <v>4380</v>
      </c>
      <c r="G223" s="14">
        <v>9.6407091567020571E-26</v>
      </c>
    </row>
    <row r="224" spans="1:7" x14ac:dyDescent="0.55000000000000004">
      <c r="A224" s="8">
        <f t="shared" si="6"/>
        <v>1.0999999999999961E-2</v>
      </c>
      <c r="B224" s="8" cm="1">
        <f t="array" ref="B224">FAM(A224)</f>
        <v>6.396598692900982E-13</v>
      </c>
      <c r="C224" s="14">
        <v>6.2527765883982111E-14</v>
      </c>
      <c r="D224" s="14">
        <v>6.3964470235409279E-13</v>
      </c>
      <c r="F224" s="18">
        <f t="shared" si="7"/>
        <v>4400</v>
      </c>
      <c r="G224" s="14">
        <v>9.71261249790842E-26</v>
      </c>
    </row>
    <row r="225" spans="1:7" x14ac:dyDescent="0.55000000000000004">
      <c r="A225" s="8">
        <f t="shared" si="6"/>
        <v>1.1049999999999961E-2</v>
      </c>
      <c r="B225" s="8" cm="1">
        <f t="array" ref="B225">FAM(A225)</f>
        <v>-0.57720988164325826</v>
      </c>
      <c r="C225" s="14">
        <v>5.0543705670537254E-14</v>
      </c>
      <c r="D225" s="14">
        <v>-0.57720988164325837</v>
      </c>
      <c r="F225" s="18">
        <f t="shared" si="7"/>
        <v>4420</v>
      </c>
      <c r="G225" s="14">
        <v>9.7351281575837953E-26</v>
      </c>
    </row>
    <row r="226" spans="1:7" x14ac:dyDescent="0.55000000000000004">
      <c r="A226" s="8">
        <f t="shared" si="6"/>
        <v>1.1099999999999961E-2</v>
      </c>
      <c r="B226" s="8" cm="1">
        <f t="array" ref="B226">FAM(A226)</f>
        <v>-0.82394224809546845</v>
      </c>
      <c r="C226" s="14">
        <v>7.1777761480024465E-14</v>
      </c>
      <c r="D226" s="14">
        <v>-0.82394224809546823</v>
      </c>
      <c r="F226" s="18">
        <f t="shared" si="7"/>
        <v>4440</v>
      </c>
      <c r="G226" s="14">
        <v>9.9862259496935977E-26</v>
      </c>
    </row>
    <row r="227" spans="1:7" x14ac:dyDescent="0.55000000000000004">
      <c r="A227" s="8">
        <f t="shared" si="6"/>
        <v>1.114999999999996E-2</v>
      </c>
      <c r="B227" s="8" cm="1">
        <f t="array" ref="B227">FAM(A227)</f>
        <v>-0.58738321808650173</v>
      </c>
      <c r="C227" s="14">
        <v>5.9925773046811032E-14</v>
      </c>
      <c r="D227" s="14">
        <v>-0.58738321808650173</v>
      </c>
      <c r="F227" s="18">
        <f t="shared" si="7"/>
        <v>4460</v>
      </c>
      <c r="G227" s="14">
        <v>9.4279898930267208E-26</v>
      </c>
    </row>
    <row r="228" spans="1:7" x14ac:dyDescent="0.55000000000000004">
      <c r="A228" s="8">
        <f t="shared" si="6"/>
        <v>1.119999999999996E-2</v>
      </c>
      <c r="B228" s="8" cm="1">
        <f t="array" ref="B228">FAM(A228)</f>
        <v>-6.7144186660875532E-13</v>
      </c>
      <c r="C228" s="14">
        <v>7.9508427494608536E-14</v>
      </c>
      <c r="D228" s="14">
        <v>-6.7143884851791E-13</v>
      </c>
      <c r="F228" s="18">
        <f t="shared" si="7"/>
        <v>4480</v>
      </c>
      <c r="G228" s="14">
        <v>8.4662620009851209E-26</v>
      </c>
    </row>
    <row r="229" spans="1:7" x14ac:dyDescent="0.55000000000000004">
      <c r="A229" s="8">
        <f t="shared" si="6"/>
        <v>1.124999999999996E-2</v>
      </c>
      <c r="B229" s="8" cm="1">
        <f t="array" ref="B229">FAM(A229)</f>
        <v>0.59497474683010088</v>
      </c>
      <c r="C229" s="14">
        <v>8.9337440681028234E-14</v>
      </c>
      <c r="D229" s="14">
        <v>0.5949747468301011</v>
      </c>
      <c r="F229" s="18">
        <f t="shared" si="7"/>
        <v>4500</v>
      </c>
      <c r="G229" s="14">
        <v>9.0180620496784028E-26</v>
      </c>
    </row>
    <row r="230" spans="1:7" x14ac:dyDescent="0.55000000000000004">
      <c r="A230" s="8">
        <f t="shared" si="6"/>
        <v>1.1299999999999959E-2</v>
      </c>
      <c r="B230" s="8" cm="1">
        <f t="array" ref="B230">FAM(A230)</f>
        <v>0.84539907116993307</v>
      </c>
      <c r="C230" s="14">
        <v>5.8689617322889881E-14</v>
      </c>
      <c r="D230" s="14">
        <v>0.84539907116993296</v>
      </c>
      <c r="F230" s="18">
        <f t="shared" si="7"/>
        <v>4520</v>
      </c>
      <c r="G230" s="14">
        <v>9.3980989508328234E-26</v>
      </c>
    </row>
    <row r="231" spans="1:7" x14ac:dyDescent="0.55000000000000004">
      <c r="A231" s="8">
        <f t="shared" si="6"/>
        <v>1.1349999999999959E-2</v>
      </c>
      <c r="B231" s="8" cm="1">
        <f t="array" ref="B231">FAM(A231)</f>
        <v>0.59994132199240047</v>
      </c>
      <c r="C231" s="14">
        <v>2.5949371024770681E-13</v>
      </c>
      <c r="D231" s="14">
        <v>0.59994132199240069</v>
      </c>
      <c r="F231" s="18">
        <f t="shared" si="7"/>
        <v>4540</v>
      </c>
      <c r="G231" s="14">
        <v>8.8223971454465436E-26</v>
      </c>
    </row>
    <row r="232" spans="1:7" x14ac:dyDescent="0.55000000000000004">
      <c r="A232" s="8">
        <f t="shared" si="6"/>
        <v>1.1399999999999959E-2</v>
      </c>
      <c r="B232" s="8" cm="1">
        <f t="array" ref="B232">FAM(A232)</f>
        <v>7.1605950036812596E-13</v>
      </c>
      <c r="C232" s="14">
        <v>1.0948664012590861E-14</v>
      </c>
      <c r="D232" s="14">
        <v>7.1605531232298799E-13</v>
      </c>
      <c r="F232" s="18">
        <f t="shared" si="7"/>
        <v>4560</v>
      </c>
      <c r="G232" s="14">
        <v>8.7063595285255851E-26</v>
      </c>
    </row>
    <row r="233" spans="1:7" x14ac:dyDescent="0.55000000000000004">
      <c r="A233" s="8">
        <f t="shared" si="6"/>
        <v>1.1449999999999958E-2</v>
      </c>
      <c r="B233" s="8" cm="1">
        <f t="array" ref="B233">FAM(A233)</f>
        <v>-0.60227652835607437</v>
      </c>
      <c r="C233" s="14">
        <v>0.100000000000008</v>
      </c>
      <c r="D233" s="14">
        <v>-0.60227652835607459</v>
      </c>
      <c r="F233" s="38">
        <f t="shared" si="7"/>
        <v>4580</v>
      </c>
      <c r="G233" s="14">
        <v>7.9465640260245951E-26</v>
      </c>
    </row>
    <row r="234" spans="1:7" x14ac:dyDescent="0.55000000000000004">
      <c r="A234" s="8">
        <f t="shared" si="6"/>
        <v>1.1499999999999958E-2</v>
      </c>
      <c r="B234" s="8" cm="1">
        <f t="array" ref="B234">FAM(A234)</f>
        <v>-0.85201470213402042</v>
      </c>
      <c r="C234" s="14">
        <v>-2.7142732506035829E-13</v>
      </c>
      <c r="D234" s="14">
        <v>-0.8520147021340202</v>
      </c>
      <c r="F234" s="18">
        <f t="shared" si="7"/>
        <v>4600</v>
      </c>
      <c r="G234" s="14">
        <v>8.2221530018665472E-26</v>
      </c>
    </row>
    <row r="235" spans="1:7" x14ac:dyDescent="0.55000000000000004">
      <c r="A235" s="8">
        <f t="shared" si="6"/>
        <v>1.1549999999999958E-2</v>
      </c>
      <c r="B235" s="8" cm="1">
        <f t="array" ref="B235">FAM(A235)</f>
        <v>-0.60201049875710377</v>
      </c>
      <c r="C235" s="14">
        <v>-2.2991555858427951E-13</v>
      </c>
      <c r="D235" s="14">
        <v>-0.60201049875710388</v>
      </c>
      <c r="F235" s="18">
        <f t="shared" si="7"/>
        <v>4620</v>
      </c>
      <c r="G235" s="14">
        <v>8.045459088871483E-26</v>
      </c>
    </row>
    <row r="236" spans="1:7" x14ac:dyDescent="0.55000000000000004">
      <c r="A236" s="8">
        <f t="shared" si="6"/>
        <v>1.1599999999999958E-2</v>
      </c>
      <c r="B236" s="8" cm="1">
        <f t="array" ref="B236">FAM(A236)</f>
        <v>-7.2460738453565266E-13</v>
      </c>
      <c r="C236" s="14">
        <v>2.59122991607347E-14</v>
      </c>
      <c r="D236" s="14">
        <v>-7.2461694000292337E-13</v>
      </c>
      <c r="F236" s="18">
        <f t="shared" si="7"/>
        <v>4640</v>
      </c>
      <c r="G236" s="14">
        <v>8.2257858350354128E-26</v>
      </c>
    </row>
    <row r="237" spans="1:7" x14ac:dyDescent="0.55000000000000004">
      <c r="A237" s="8">
        <f t="shared" si="6"/>
        <v>1.1649999999999957E-2</v>
      </c>
      <c r="B237" s="8" cm="1">
        <f t="array" ref="B237">FAM(A237)</f>
        <v>0.59920917459372924</v>
      </c>
      <c r="C237" s="14">
        <v>-4.8531088613899952E-14</v>
      </c>
      <c r="D237" s="14">
        <v>0.59920917459372924</v>
      </c>
      <c r="F237" s="18">
        <f t="shared" si="7"/>
        <v>4660</v>
      </c>
      <c r="G237" s="14">
        <v>7.7434893006048469E-26</v>
      </c>
    </row>
    <row r="238" spans="1:7" x14ac:dyDescent="0.55000000000000004">
      <c r="A238" s="8">
        <f t="shared" si="6"/>
        <v>1.1699999999999957E-2</v>
      </c>
      <c r="B238" s="8" cm="1">
        <f t="array" ref="B238">FAM(A238)</f>
        <v>0.84412692110917986</v>
      </c>
      <c r="C238" s="14">
        <v>1.0921215865371709E-13</v>
      </c>
      <c r="D238" s="14">
        <v>0.84412692110917975</v>
      </c>
      <c r="F238" s="18">
        <f t="shared" si="7"/>
        <v>4680</v>
      </c>
      <c r="G238" s="14">
        <v>8.0648115530351454E-26</v>
      </c>
    </row>
    <row r="239" spans="1:7" x14ac:dyDescent="0.55000000000000004">
      <c r="A239" s="8">
        <f t="shared" si="6"/>
        <v>1.1749999999999957E-2</v>
      </c>
      <c r="B239" s="8" cm="1">
        <f t="array" ref="B239">FAM(A239)</f>
        <v>0.59397302222433546</v>
      </c>
      <c r="C239" s="14">
        <v>-1.0212168112281339E-14</v>
      </c>
      <c r="D239" s="14">
        <v>0.59397302222433568</v>
      </c>
      <c r="F239" s="18">
        <f t="shared" si="7"/>
        <v>4700</v>
      </c>
      <c r="G239" s="14">
        <v>8.4070912713441137E-26</v>
      </c>
    </row>
    <row r="240" spans="1:7" x14ac:dyDescent="0.55000000000000004">
      <c r="A240" s="8">
        <f t="shared" si="6"/>
        <v>1.1799999999999956E-2</v>
      </c>
      <c r="B240" s="8" cm="1">
        <f t="array" ref="B240">FAM(A240)</f>
        <v>7.2102232379357972E-13</v>
      </c>
      <c r="C240" s="14">
        <v>1.339076136643859E-13</v>
      </c>
      <c r="D240" s="14">
        <v>7.2102842462567988E-13</v>
      </c>
      <c r="F240" s="18">
        <f t="shared" si="7"/>
        <v>4720</v>
      </c>
      <c r="G240" s="14">
        <v>7.8081854012487429E-26</v>
      </c>
    </row>
    <row r="241" spans="1:7" x14ac:dyDescent="0.55000000000000004">
      <c r="A241" s="8">
        <f t="shared" si="6"/>
        <v>1.1849999999999956E-2</v>
      </c>
      <c r="B241" s="8" cm="1">
        <f t="array" ref="B241">FAM(A241)</f>
        <v>-0.58643522639443291</v>
      </c>
      <c r="C241" s="14">
        <v>1.669280357454724E-13</v>
      </c>
      <c r="D241" s="14">
        <v>-0.58643522639443302</v>
      </c>
      <c r="F241" s="18">
        <f t="shared" si="7"/>
        <v>4740</v>
      </c>
      <c r="G241" s="14">
        <v>7.5018988885878018E-26</v>
      </c>
    </row>
    <row r="242" spans="1:7" x14ac:dyDescent="0.55000000000000004">
      <c r="A242" s="8">
        <f t="shared" si="6"/>
        <v>1.1899999999999956E-2</v>
      </c>
      <c r="B242" s="8" cm="1">
        <f t="array" ref="B242">FAM(A242)</f>
        <v>-0.82286471836339581</v>
      </c>
      <c r="C242" s="14">
        <v>7.9417848205302351E-14</v>
      </c>
      <c r="D242" s="14">
        <v>-0.8228647183633957</v>
      </c>
      <c r="F242" s="18">
        <f t="shared" si="7"/>
        <v>4760</v>
      </c>
      <c r="G242" s="14">
        <v>7.4121466903710111E-26</v>
      </c>
    </row>
    <row r="243" spans="1:7" x14ac:dyDescent="0.55000000000000004">
      <c r="A243" s="8">
        <f t="shared" si="6"/>
        <v>1.1949999999999955E-2</v>
      </c>
      <c r="B243" s="8" cm="1">
        <f t="array" ref="B243">FAM(A243)</f>
        <v>-0.57675939012536459</v>
      </c>
      <c r="C243" s="14">
        <v>9.9999999999937278E-2</v>
      </c>
      <c r="D243" s="14">
        <v>-0.57675939012536481</v>
      </c>
      <c r="F243" s="18">
        <f t="shared" si="7"/>
        <v>4780</v>
      </c>
      <c r="G243" s="14">
        <v>7.2642525197179454E-26</v>
      </c>
    </row>
    <row r="244" spans="1:7" x14ac:dyDescent="0.55000000000000004">
      <c r="A244" s="8">
        <f t="shared" si="6"/>
        <v>1.1999999999999955E-2</v>
      </c>
      <c r="B244" s="8" cm="1">
        <f t="array" ref="B244">FAM(A244)</f>
        <v>-7.2911734482071695E-13</v>
      </c>
      <c r="C244" s="14">
        <v>-1.8848211880140299E-13</v>
      </c>
      <c r="D244" s="14">
        <v>-7.2913704071929987E-13</v>
      </c>
      <c r="F244" s="18">
        <f t="shared" si="7"/>
        <v>4800</v>
      </c>
      <c r="G244" s="14">
        <v>7.4137296428450091E-26</v>
      </c>
    </row>
    <row r="245" spans="1:7" x14ac:dyDescent="0.55000000000000004">
      <c r="A245" s="8">
        <f t="shared" si="6"/>
        <v>1.2049999999999955E-2</v>
      </c>
      <c r="B245" s="8" cm="1">
        <f t="array" ref="B245">FAM(A245)</f>
        <v>0.56513677806154761</v>
      </c>
      <c r="C245" s="14">
        <v>-3.2873509363914459E-13</v>
      </c>
      <c r="D245" s="14">
        <v>0.56513677806154783</v>
      </c>
      <c r="F245" s="18">
        <f t="shared" si="7"/>
        <v>4820</v>
      </c>
      <c r="G245" s="14">
        <v>7.1426926707968631E-26</v>
      </c>
    </row>
    <row r="246" spans="1:7" x14ac:dyDescent="0.55000000000000004">
      <c r="A246" s="8">
        <f t="shared" si="6"/>
        <v>1.2099999999999955E-2</v>
      </c>
      <c r="B246" s="8" cm="1">
        <f t="array" ref="B246">FAM(A246)</f>
        <v>0.79006736704608016</v>
      </c>
      <c r="C246" s="14">
        <v>1.97291865118691E-13</v>
      </c>
      <c r="D246" s="14">
        <v>0.79006736704608005</v>
      </c>
      <c r="F246" s="18">
        <f t="shared" si="7"/>
        <v>4840</v>
      </c>
      <c r="G246" s="14">
        <v>7.1771404060523609E-26</v>
      </c>
    </row>
    <row r="247" spans="1:7" x14ac:dyDescent="0.55000000000000004">
      <c r="A247" s="8">
        <f t="shared" si="6"/>
        <v>1.2149999999999954E-2</v>
      </c>
      <c r="B247" s="8" cm="1">
        <f t="array" ref="B247">FAM(A247)</f>
        <v>0.55178314751277902</v>
      </c>
      <c r="C247" s="14">
        <v>-1.7781315020845242E-13</v>
      </c>
      <c r="D247" s="14">
        <v>0.55178314751277935</v>
      </c>
      <c r="F247" s="18">
        <f t="shared" si="7"/>
        <v>4860</v>
      </c>
      <c r="G247" s="14">
        <v>6.8522524130933048E-26</v>
      </c>
    </row>
    <row r="248" spans="1:7" x14ac:dyDescent="0.55000000000000004">
      <c r="A248" s="8">
        <f t="shared" si="6"/>
        <v>1.2199999999999954E-2</v>
      </c>
      <c r="B248" s="8" cm="1">
        <f t="array" ref="B248">FAM(A248)</f>
        <v>7.034027261114396E-13</v>
      </c>
      <c r="C248" s="14">
        <v>3.110033797650845E-13</v>
      </c>
      <c r="D248" s="14">
        <v>7.0341609258966494E-13</v>
      </c>
      <c r="F248" s="18">
        <f t="shared" si="7"/>
        <v>4880</v>
      </c>
      <c r="G248" s="14">
        <v>6.7892932952559941E-26</v>
      </c>
    </row>
    <row r="249" spans="1:7" x14ac:dyDescent="0.55000000000000004">
      <c r="A249" s="8">
        <f t="shared" si="6"/>
        <v>1.2249999999999954E-2</v>
      </c>
      <c r="B249" s="8" cm="1">
        <f t="array" ref="B249">FAM(A249)</f>
        <v>-0.5369352177044151</v>
      </c>
      <c r="C249" s="14">
        <v>-1.0983578739887704E-14</v>
      </c>
      <c r="D249" s="14">
        <v>-0.53693521770441521</v>
      </c>
      <c r="F249" s="18">
        <f t="shared" si="7"/>
        <v>4900</v>
      </c>
      <c r="G249" s="14">
        <v>6.6924555301111994E-26</v>
      </c>
    </row>
    <row r="250" spans="1:7" x14ac:dyDescent="0.55000000000000004">
      <c r="A250" s="8">
        <f t="shared" si="6"/>
        <v>1.2299999999999953E-2</v>
      </c>
      <c r="B250" s="8" cm="1">
        <f t="array" ref="B250">FAM(A250)</f>
        <v>-0.74816091769587989</v>
      </c>
      <c r="C250" s="14">
        <v>4.6398742120523629E-13</v>
      </c>
      <c r="D250" s="14">
        <v>-0.74816091769587956</v>
      </c>
      <c r="F250" s="18">
        <f t="shared" si="7"/>
        <v>4920</v>
      </c>
      <c r="G250" s="14">
        <v>6.9191771855710748E-26</v>
      </c>
    </row>
    <row r="251" spans="1:7" x14ac:dyDescent="0.55000000000000004">
      <c r="A251" s="8">
        <f t="shared" si="6"/>
        <v>1.2349999999999953E-2</v>
      </c>
      <c r="B251" s="8" cm="1">
        <f t="array" ref="B251">FAM(A251)</f>
        <v>-0.52084683348846939</v>
      </c>
      <c r="C251" s="14">
        <v>3.2488831457911835E-13</v>
      </c>
      <c r="D251" s="14">
        <v>-0.52084683348846939</v>
      </c>
      <c r="F251" s="18">
        <f t="shared" si="7"/>
        <v>4940</v>
      </c>
      <c r="G251" s="14">
        <v>6.7777792393776279E-26</v>
      </c>
    </row>
    <row r="252" spans="1:7" x14ac:dyDescent="0.55000000000000004">
      <c r="A252" s="8">
        <f t="shared" si="6"/>
        <v>1.2399999999999953E-2</v>
      </c>
      <c r="B252" s="8" cm="1">
        <f t="array" ref="B252">FAM(A252)</f>
        <v>-6.9033315547279329E-13</v>
      </c>
      <c r="C252" s="14">
        <v>1.3648545523421348E-12</v>
      </c>
      <c r="D252" s="14">
        <v>-6.9035850946772455E-13</v>
      </c>
      <c r="F252" s="18">
        <f t="shared" si="7"/>
        <v>4960</v>
      </c>
      <c r="G252" s="14">
        <v>6.4050328435887214E-26</v>
      </c>
    </row>
    <row r="253" spans="1:7" x14ac:dyDescent="0.55000000000000004">
      <c r="A253" s="8">
        <f t="shared" si="6"/>
        <v>1.2449999999999952E-2</v>
      </c>
      <c r="B253" s="8" cm="1">
        <f t="array" ref="B253">FAM(A253)</f>
        <v>0.50378488435849389</v>
      </c>
      <c r="C253" s="36">
        <v>1.9072491502339373E-12</v>
      </c>
      <c r="D253" s="36">
        <v>0.50378488435849411</v>
      </c>
      <c r="F253" s="19">
        <f t="shared" si="7"/>
        <v>4980</v>
      </c>
      <c r="G253" s="15">
        <v>6.5612768348860563E-26</v>
      </c>
    </row>
    <row r="254" spans="1:7" x14ac:dyDescent="0.55000000000000004">
      <c r="A254" s="4">
        <f t="shared" si="6"/>
        <v>1.2499999999999952E-2</v>
      </c>
      <c r="B254" s="4" cm="1">
        <f t="array" ref="B254">FAM(A254)</f>
        <v>0.70000000000001539</v>
      </c>
      <c r="C254" s="13">
        <v>0.49999999999999728</v>
      </c>
      <c r="D254" s="13">
        <v>0.70000000000001528</v>
      </c>
      <c r="F254" s="17">
        <f t="shared" si="7"/>
        <v>5000</v>
      </c>
      <c r="G254" s="13">
        <v>6.2892397250384701E-26</v>
      </c>
    </row>
    <row r="255" spans="1:7" x14ac:dyDescent="0.55000000000000004">
      <c r="A255" s="8">
        <f t="shared" si="6"/>
        <v>1.2549999999999952E-2</v>
      </c>
      <c r="B255" s="8" cm="1">
        <f t="array" ref="B255">FAM(A255)</f>
        <v>0.48602504349808101</v>
      </c>
      <c r="C255" s="14">
        <v>3.2291206267093711E-13</v>
      </c>
      <c r="D255" s="14">
        <v>0.48602504349808134</v>
      </c>
      <c r="F255" s="18">
        <f t="shared" si="7"/>
        <v>5020</v>
      </c>
      <c r="G255" s="14">
        <v>6.3872703012450419E-26</v>
      </c>
    </row>
    <row r="256" spans="1:7" x14ac:dyDescent="0.55000000000000004">
      <c r="A256" s="8">
        <f t="shared" si="6"/>
        <v>1.2599999999999952E-2</v>
      </c>
      <c r="B256" s="8" cm="1">
        <f t="array" ref="B256">FAM(A256)</f>
        <v>6.4984738152111501E-13</v>
      </c>
      <c r="C256" s="14">
        <v>-1.3708765259612622E-12</v>
      </c>
      <c r="D256" s="14">
        <v>6.4986350023195815E-13</v>
      </c>
      <c r="F256" s="18">
        <f t="shared" si="7"/>
        <v>5040</v>
      </c>
      <c r="G256" s="14">
        <v>6.5057742211167943E-26</v>
      </c>
    </row>
    <row r="257" spans="1:7" x14ac:dyDescent="0.55000000000000004">
      <c r="A257" s="8">
        <f t="shared" si="6"/>
        <v>1.2649999999999951E-2</v>
      </c>
      <c r="B257" s="8" cm="1">
        <f t="array" ref="B257">FAM(A257)</f>
        <v>-0.46784739420303795</v>
      </c>
      <c r="C257" s="14">
        <v>-1.51512819327012E-14</v>
      </c>
      <c r="D257" s="14">
        <v>-0.46784739420303806</v>
      </c>
      <c r="F257" s="18">
        <f t="shared" si="7"/>
        <v>5060</v>
      </c>
      <c r="G257" s="14">
        <v>6.1246694234626036E-26</v>
      </c>
    </row>
    <row r="258" spans="1:7" x14ac:dyDescent="0.55000000000000004">
      <c r="A258" s="8">
        <f t="shared" si="6"/>
        <v>1.2699999999999951E-2</v>
      </c>
      <c r="B258" s="8" cm="1">
        <f t="array" ref="B258">FAM(A258)</f>
        <v>-0.64868496282994081</v>
      </c>
      <c r="C258" s="14">
        <v>-4.7065594344957806E-13</v>
      </c>
      <c r="D258" s="14">
        <v>-0.6486849628299407</v>
      </c>
      <c r="F258" s="18">
        <f t="shared" si="7"/>
        <v>5080</v>
      </c>
      <c r="G258" s="14">
        <v>5.9124344684065089E-26</v>
      </c>
    </row>
    <row r="259" spans="1:7" x14ac:dyDescent="0.55000000000000004">
      <c r="A259" s="8">
        <f t="shared" si="6"/>
        <v>1.2749999999999951E-2</v>
      </c>
      <c r="B259" s="8" cm="1">
        <f t="array" ref="B259">FAM(A259)</f>
        <v>-0.44953201281558164</v>
      </c>
      <c r="C259" s="14">
        <v>-1.8557950077589349E-13</v>
      </c>
      <c r="D259" s="14">
        <v>-0.44953201281558164</v>
      </c>
      <c r="F259" s="18">
        <f t="shared" si="7"/>
        <v>5100</v>
      </c>
      <c r="G259" s="14">
        <v>6.1393519091276569E-26</v>
      </c>
    </row>
    <row r="260" spans="1:7" x14ac:dyDescent="0.55000000000000004">
      <c r="A260" s="8">
        <f t="shared" si="6"/>
        <v>1.279999999999995E-2</v>
      </c>
      <c r="B260" s="8" cm="1">
        <f t="array" ref="B260">FAM(A260)</f>
        <v>-6.0674842500175747E-13</v>
      </c>
      <c r="C260" s="14">
        <v>-3.1542100127420479E-13</v>
      </c>
      <c r="D260" s="14">
        <v>-6.0677398990405316E-13</v>
      </c>
      <c r="F260" s="18">
        <f t="shared" si="7"/>
        <v>5120</v>
      </c>
      <c r="G260" s="14">
        <v>5.6709657397162394E-26</v>
      </c>
    </row>
    <row r="261" spans="1:7" x14ac:dyDescent="0.55000000000000004">
      <c r="A261" s="8">
        <f t="shared" si="6"/>
        <v>1.284999999999995E-2</v>
      </c>
      <c r="B261" s="8" cm="1">
        <f t="array" ref="B261">FAM(A261)</f>
        <v>0.43135457777005903</v>
      </c>
      <c r="C261" s="14">
        <v>-3.518691570711923E-13</v>
      </c>
      <c r="D261" s="14">
        <v>0.43135457777005903</v>
      </c>
      <c r="F261" s="18">
        <f t="shared" si="7"/>
        <v>5140</v>
      </c>
      <c r="G261" s="14">
        <v>6.2575729438106507E-26</v>
      </c>
    </row>
    <row r="262" spans="1:7" x14ac:dyDescent="0.55000000000000004">
      <c r="A262" s="8">
        <f t="shared" ref="A262:A325" si="8">A261+0.00005</f>
        <v>1.289999999999995E-2</v>
      </c>
      <c r="B262" s="8" cm="1">
        <f t="array" ref="B262">FAM(A262)</f>
        <v>0.59736589740539947</v>
      </c>
      <c r="C262" s="14">
        <v>-1.9657856312689838E-13</v>
      </c>
      <c r="D262" s="14">
        <v>0.59736589740539947</v>
      </c>
      <c r="F262" s="18">
        <f t="shared" ref="F262:F325" si="9">20000/1000+F261</f>
        <v>5160</v>
      </c>
      <c r="G262" s="14">
        <v>5.8616732607013979E-26</v>
      </c>
    </row>
    <row r="263" spans="1:7" x14ac:dyDescent="0.55000000000000004">
      <c r="A263" s="8">
        <f t="shared" si="8"/>
        <v>1.2949999999999949E-2</v>
      </c>
      <c r="B263" s="8" cm="1">
        <f t="array" ref="B263">FAM(A263)</f>
        <v>0.41358207395404062</v>
      </c>
      <c r="C263" s="14">
        <v>-0.10000000000006543</v>
      </c>
      <c r="D263" s="14">
        <v>0.41358207395404073</v>
      </c>
      <c r="F263" s="18">
        <f t="shared" si="9"/>
        <v>5180</v>
      </c>
      <c r="G263" s="14">
        <v>5.6161574074849235E-26</v>
      </c>
    </row>
    <row r="264" spans="1:7" x14ac:dyDescent="0.55000000000000004">
      <c r="A264" s="8">
        <f t="shared" si="8"/>
        <v>1.2999999999999949E-2</v>
      </c>
      <c r="B264" s="8" cm="1">
        <f t="array" ref="B264">FAM(A264)</f>
        <v>5.8031532177794473E-13</v>
      </c>
      <c r="C264" s="14">
        <v>2.1502444269572152E-13</v>
      </c>
      <c r="D264" s="14">
        <v>5.8032938150669141E-13</v>
      </c>
      <c r="F264" s="18">
        <f t="shared" si="9"/>
        <v>5200</v>
      </c>
      <c r="G264" s="14">
        <v>5.9579661515436874E-26</v>
      </c>
    </row>
    <row r="265" spans="1:7" x14ac:dyDescent="0.55000000000000004">
      <c r="A265" s="8">
        <f t="shared" si="8"/>
        <v>1.3049999999999949E-2</v>
      </c>
      <c r="B265" s="8" cm="1">
        <f t="array" ref="B265">FAM(A265)</f>
        <v>-0.39646865986753455</v>
      </c>
      <c r="C265" s="14">
        <v>1.8326952659051738E-13</v>
      </c>
      <c r="D265" s="14">
        <v>-0.3964686598675346</v>
      </c>
      <c r="F265" s="18">
        <f t="shared" si="9"/>
        <v>5220</v>
      </c>
      <c r="G265" s="14">
        <v>5.4672434332459149E-26</v>
      </c>
    </row>
    <row r="266" spans="1:7" x14ac:dyDescent="0.55000000000000004">
      <c r="A266" s="8">
        <f t="shared" si="8"/>
        <v>1.3099999999999948E-2</v>
      </c>
      <c r="B266" s="8" cm="1">
        <f t="array" ref="B266">FAM(A266)</f>
        <v>-0.54904587599192767</v>
      </c>
      <c r="C266" s="14">
        <v>-7.8159366186571239E-14</v>
      </c>
      <c r="D266" s="14">
        <v>-0.54904587599192767</v>
      </c>
      <c r="F266" s="18">
        <f t="shared" si="9"/>
        <v>5240</v>
      </c>
      <c r="G266" s="14">
        <v>5.7704998669683917E-26</v>
      </c>
    </row>
    <row r="267" spans="1:7" x14ac:dyDescent="0.55000000000000004">
      <c r="A267" s="8">
        <f t="shared" si="8"/>
        <v>1.3149999999999948E-2</v>
      </c>
      <c r="B267" s="8" cm="1">
        <f t="array" ref="B267">FAM(A267)</f>
        <v>-0.38025176250657955</v>
      </c>
      <c r="C267" s="14">
        <v>-1.0004616537479544E-14</v>
      </c>
      <c r="D267" s="14">
        <v>-0.38025176250657949</v>
      </c>
      <c r="F267" s="18">
        <f t="shared" si="9"/>
        <v>5260</v>
      </c>
      <c r="G267" s="14">
        <v>5.6732806870109479E-26</v>
      </c>
    </row>
    <row r="268" spans="1:7" x14ac:dyDescent="0.55000000000000004">
      <c r="A268" s="8">
        <f t="shared" si="8"/>
        <v>1.3199999999999948E-2</v>
      </c>
      <c r="B268" s="8" cm="1">
        <f t="array" ref="B268">FAM(A268)</f>
        <v>-5.3959112402673888E-13</v>
      </c>
      <c r="C268" s="14">
        <v>-1.3847549291313821E-13</v>
      </c>
      <c r="D268" s="14">
        <v>-5.3961178351421788E-13</v>
      </c>
      <c r="F268" s="18">
        <f t="shared" si="9"/>
        <v>5280</v>
      </c>
      <c r="G268" s="14">
        <v>5.7420591409599996E-26</v>
      </c>
    </row>
    <row r="269" spans="1:7" x14ac:dyDescent="0.55000000000000004">
      <c r="A269" s="8">
        <f t="shared" si="8"/>
        <v>1.3249999999999948E-2</v>
      </c>
      <c r="B269" s="8" cm="1">
        <f t="array" ref="B269">FAM(A269)</f>
        <v>0.36514846109638177</v>
      </c>
      <c r="C269" s="14">
        <v>-5.4737151316247026E-14</v>
      </c>
      <c r="D269" s="14">
        <v>0.36514846109638199</v>
      </c>
      <c r="F269" s="18">
        <f t="shared" si="9"/>
        <v>5300</v>
      </c>
      <c r="G269" s="14">
        <v>5.0596351158979739E-26</v>
      </c>
    </row>
    <row r="270" spans="1:7" x14ac:dyDescent="0.55000000000000004">
      <c r="A270" s="8">
        <f t="shared" si="8"/>
        <v>1.3299999999999947E-2</v>
      </c>
      <c r="B270" s="8" cm="1">
        <f t="array" ref="B270">FAM(A270)</f>
        <v>0.50639575090838285</v>
      </c>
      <c r="C270" s="14">
        <v>-1.1168477709348432E-13</v>
      </c>
      <c r="D270" s="14">
        <v>0.50639575090838285</v>
      </c>
      <c r="F270" s="18">
        <f t="shared" si="9"/>
        <v>5320</v>
      </c>
      <c r="G270" s="14">
        <v>5.2810124044057503E-26</v>
      </c>
    </row>
    <row r="271" spans="1:7" x14ac:dyDescent="0.55000000000000004">
      <c r="A271" s="8">
        <f t="shared" si="8"/>
        <v>1.3349999999999947E-2</v>
      </c>
      <c r="B271" s="8" cm="1">
        <f t="array" ref="B271">FAM(A271)</f>
        <v>0.35135221625138663</v>
      </c>
      <c r="C271" s="14">
        <v>-2.6611040088404008E-13</v>
      </c>
      <c r="D271" s="14">
        <v>0.35135221625138674</v>
      </c>
      <c r="F271" s="18">
        <f t="shared" si="9"/>
        <v>5340</v>
      </c>
      <c r="G271" s="14">
        <v>5.1160248606661576E-26</v>
      </c>
    </row>
    <row r="272" spans="1:7" x14ac:dyDescent="0.55000000000000004">
      <c r="A272" s="8">
        <f t="shared" si="8"/>
        <v>1.3399999999999947E-2</v>
      </c>
      <c r="B272" s="8" cm="1">
        <f t="array" ref="B272">FAM(A272)</f>
        <v>5.1881406448602108E-13</v>
      </c>
      <c r="C272" s="14">
        <v>-1.7632456719137373E-14</v>
      </c>
      <c r="D272" s="14">
        <v>5.188221982006508E-13</v>
      </c>
      <c r="F272" s="18">
        <f t="shared" si="9"/>
        <v>5360</v>
      </c>
      <c r="G272" s="14">
        <v>5.147831171016033E-26</v>
      </c>
    </row>
    <row r="273" spans="1:7" x14ac:dyDescent="0.55000000000000004">
      <c r="A273" s="8">
        <f t="shared" si="8"/>
        <v>1.3449999999999946E-2</v>
      </c>
      <c r="B273" s="8" cm="1">
        <f t="array" ref="B273">FAM(A273)</f>
        <v>-0.33902999549248536</v>
      </c>
      <c r="C273" s="14">
        <v>-9.9999999999985878E-2</v>
      </c>
      <c r="D273" s="14">
        <v>-0.33902999549248541</v>
      </c>
      <c r="F273" s="18">
        <f t="shared" si="9"/>
        <v>5380</v>
      </c>
      <c r="G273" s="14">
        <v>4.9049904023091374E-26</v>
      </c>
    </row>
    <row r="274" spans="1:7" x14ac:dyDescent="0.55000000000000004">
      <c r="A274" s="8">
        <f t="shared" si="8"/>
        <v>1.3499999999999946E-2</v>
      </c>
      <c r="B274" s="8" cm="1">
        <f t="array" ref="B274">FAM(A274)</f>
        <v>-0.47159209561596915</v>
      </c>
      <c r="C274" s="14">
        <v>3.304876372567378E-13</v>
      </c>
      <c r="D274" s="14">
        <v>-0.47159209561596899</v>
      </c>
      <c r="F274" s="18">
        <f t="shared" si="9"/>
        <v>5400</v>
      </c>
      <c r="G274" s="14">
        <v>5.2342907315375676E-26</v>
      </c>
    </row>
    <row r="275" spans="1:7" x14ac:dyDescent="0.55000000000000004">
      <c r="A275" s="8">
        <f t="shared" si="8"/>
        <v>1.3549999999999946E-2</v>
      </c>
      <c r="B275" s="8" cm="1">
        <f t="array" ref="B275">FAM(A275)</f>
        <v>-0.32831983980607904</v>
      </c>
      <c r="C275" s="14">
        <v>3.0884157675520575E-13</v>
      </c>
      <c r="D275" s="14">
        <v>-0.32831983980607915</v>
      </c>
      <c r="F275" s="18">
        <f t="shared" si="9"/>
        <v>5420</v>
      </c>
      <c r="G275" s="14">
        <v>5.5986452807082709E-26</v>
      </c>
    </row>
    <row r="276" spans="1:7" x14ac:dyDescent="0.55000000000000004">
      <c r="A276" s="8">
        <f t="shared" si="8"/>
        <v>1.3599999999999945E-2</v>
      </c>
      <c r="B276" s="8" cm="1">
        <f t="array" ref="B276">FAM(A276)</f>
        <v>-4.9157579227412956E-13</v>
      </c>
      <c r="C276" s="14">
        <v>-2.8187979912731287E-15</v>
      </c>
      <c r="D276" s="14">
        <v>-4.9158795069222654E-13</v>
      </c>
      <c r="F276" s="18">
        <f t="shared" si="9"/>
        <v>5440</v>
      </c>
      <c r="G276" s="14">
        <v>5.1608015747099683E-26</v>
      </c>
    </row>
    <row r="277" spans="1:7" x14ac:dyDescent="0.55000000000000004">
      <c r="A277" s="8">
        <f t="shared" si="8"/>
        <v>1.3649999999999945E-2</v>
      </c>
      <c r="B277" s="8" cm="1">
        <f t="array" ref="B277">FAM(A277)</f>
        <v>0.31932890878582731</v>
      </c>
      <c r="C277" s="14">
        <v>1.0950980455848708E-13</v>
      </c>
      <c r="D277" s="14">
        <v>0.31932890878582737</v>
      </c>
      <c r="F277" s="18">
        <f t="shared" si="9"/>
        <v>5460</v>
      </c>
      <c r="G277" s="14">
        <v>5.026038747797201E-26</v>
      </c>
    </row>
    <row r="278" spans="1:7" x14ac:dyDescent="0.55000000000000004">
      <c r="A278" s="8">
        <f t="shared" si="8"/>
        <v>1.3699999999999945E-2</v>
      </c>
      <c r="B278" s="8" cm="1">
        <f t="array" ref="B278">FAM(A278)</f>
        <v>0.44618837979863507</v>
      </c>
      <c r="C278" s="14">
        <v>-6.0953236862122259E-14</v>
      </c>
      <c r="D278" s="14">
        <v>0.44618837979863502</v>
      </c>
      <c r="F278" s="18">
        <f t="shared" si="9"/>
        <v>5480</v>
      </c>
      <c r="G278" s="14">
        <v>4.9006340396264731E-26</v>
      </c>
    </row>
    <row r="279" spans="1:7" x14ac:dyDescent="0.55000000000000004">
      <c r="A279" s="8">
        <f t="shared" si="8"/>
        <v>1.3749999999999945E-2</v>
      </c>
      <c r="B279" s="8" cm="1">
        <f t="array" ref="B279">FAM(A279)</f>
        <v>0.31213203435630643</v>
      </c>
      <c r="C279" s="14">
        <v>7.5470701079388272E-14</v>
      </c>
      <c r="D279" s="14">
        <v>0.3121320343563066</v>
      </c>
      <c r="F279" s="38">
        <f t="shared" si="9"/>
        <v>5500</v>
      </c>
      <c r="G279" s="14">
        <v>4.7361931620587905E-26</v>
      </c>
    </row>
    <row r="280" spans="1:7" x14ac:dyDescent="0.55000000000000004">
      <c r="A280" s="8">
        <f t="shared" si="8"/>
        <v>1.3799999999999944E-2</v>
      </c>
      <c r="B280" s="8" cm="1">
        <f t="array" ref="B280">FAM(A280)</f>
        <v>4.7444094671036015E-13</v>
      </c>
      <c r="C280" s="14">
        <v>-8.6291878933713911E-14</v>
      </c>
      <c r="D280" s="14">
        <v>4.7444121264603458E-13</v>
      </c>
      <c r="F280" s="18">
        <f t="shared" si="9"/>
        <v>5520</v>
      </c>
      <c r="G280" s="14">
        <v>5.1852072027024392E-26</v>
      </c>
    </row>
    <row r="281" spans="1:7" x14ac:dyDescent="0.55000000000000004">
      <c r="A281" s="8">
        <f t="shared" si="8"/>
        <v>1.3849999999999944E-2</v>
      </c>
      <c r="B281" s="8" cm="1">
        <f t="array" ref="B281">FAM(A281)</f>
        <v>-0.30677080487996361</v>
      </c>
      <c r="C281" s="14">
        <v>6.410381795831257E-14</v>
      </c>
      <c r="D281" s="14">
        <v>-0.30677080487996355</v>
      </c>
      <c r="F281" s="18">
        <f t="shared" si="9"/>
        <v>5540</v>
      </c>
      <c r="G281" s="14">
        <v>4.9052998772297642E-26</v>
      </c>
    </row>
    <row r="282" spans="1:7" x14ac:dyDescent="0.55000000000000004">
      <c r="A282" s="8">
        <f t="shared" si="8"/>
        <v>1.3899999999999944E-2</v>
      </c>
      <c r="B282" s="8" cm="1">
        <f t="array" ref="B282">FAM(A282)</f>
        <v>-0.43102734780400376</v>
      </c>
      <c r="C282" s="14">
        <v>-7.8076317456230277E-14</v>
      </c>
      <c r="D282" s="14">
        <v>-0.43102734780400365</v>
      </c>
      <c r="F282" s="18">
        <f t="shared" si="9"/>
        <v>5560</v>
      </c>
      <c r="G282" s="14">
        <v>4.7974276982257277E-26</v>
      </c>
    </row>
    <row r="283" spans="1:7" x14ac:dyDescent="0.55000000000000004">
      <c r="A283" s="8">
        <f t="shared" si="8"/>
        <v>1.3949999999999943E-2</v>
      </c>
      <c r="B283" s="8" cm="1">
        <f t="array" ref="B283">FAM(A283)</f>
        <v>-0.30325319309320153</v>
      </c>
      <c r="C283" s="14">
        <v>4.5514868582041917E-14</v>
      </c>
      <c r="D283" s="14">
        <v>-0.30325319309320165</v>
      </c>
      <c r="F283" s="18">
        <f t="shared" si="9"/>
        <v>5580</v>
      </c>
      <c r="G283" s="14">
        <v>4.5131183373128853E-26</v>
      </c>
    </row>
    <row r="284" spans="1:7" x14ac:dyDescent="0.55000000000000004">
      <c r="A284" s="8">
        <f t="shared" si="8"/>
        <v>1.3999999999999943E-2</v>
      </c>
      <c r="B284" s="8" cm="1">
        <f t="array" ref="B284">FAM(A284)</f>
        <v>-4.8038987684902682E-13</v>
      </c>
      <c r="C284" s="14">
        <v>-6.8651200621404316E-14</v>
      </c>
      <c r="D284" s="14">
        <v>-4.8039225352043527E-13</v>
      </c>
      <c r="F284" s="18">
        <f t="shared" si="9"/>
        <v>5600</v>
      </c>
      <c r="G284" s="14">
        <v>4.5666726433771881E-26</v>
      </c>
    </row>
    <row r="285" spans="1:7" x14ac:dyDescent="0.55000000000000004">
      <c r="A285" s="8">
        <f t="shared" si="8"/>
        <v>1.4049999999999943E-2</v>
      </c>
      <c r="B285" s="8" cm="1">
        <f t="array" ref="B285">FAM(A285)</f>
        <v>0.30155373257535478</v>
      </c>
      <c r="C285" s="14">
        <v>3.3874522407089195E-14</v>
      </c>
      <c r="D285" s="14">
        <v>0.30155373257535506</v>
      </c>
      <c r="F285" s="18">
        <f t="shared" si="9"/>
        <v>5620</v>
      </c>
      <c r="G285" s="14">
        <v>4.7113542598050492E-26</v>
      </c>
    </row>
    <row r="286" spans="1:7" x14ac:dyDescent="0.55000000000000004">
      <c r="A286" s="8">
        <f t="shared" si="8"/>
        <v>1.4099999999999942E-2</v>
      </c>
      <c r="B286" s="8" cm="1">
        <f t="array" ref="B286">FAM(A286)</f>
        <v>0.42619994850259535</v>
      </c>
      <c r="C286" s="14">
        <v>-6.9244423934339815E-14</v>
      </c>
      <c r="D286" s="14">
        <v>0.42619994850259546</v>
      </c>
      <c r="F286" s="18">
        <f t="shared" si="9"/>
        <v>5640</v>
      </c>
      <c r="G286" s="14">
        <v>4.7331896398158429E-26</v>
      </c>
    </row>
    <row r="287" spans="1:7" x14ac:dyDescent="0.55000000000000004">
      <c r="A287" s="8">
        <f t="shared" si="8"/>
        <v>1.4149999999999942E-2</v>
      </c>
      <c r="B287" s="8" cm="1">
        <f t="array" ref="B287">FAM(A287)</f>
        <v>0.30161423881837501</v>
      </c>
      <c r="C287" s="14">
        <v>3.1018330679308227E-14</v>
      </c>
      <c r="D287" s="14">
        <v>0.30161423881837524</v>
      </c>
      <c r="F287" s="18">
        <f t="shared" si="9"/>
        <v>5660</v>
      </c>
      <c r="G287" s="14">
        <v>4.6556963225398708E-26</v>
      </c>
    </row>
    <row r="288" spans="1:7" x14ac:dyDescent="0.55000000000000004">
      <c r="A288" s="8">
        <f t="shared" si="8"/>
        <v>1.4199999999999942E-2</v>
      </c>
      <c r="B288" s="8" cm="1">
        <f t="array" ref="B288">FAM(A288)</f>
        <v>4.8515513150347284E-13</v>
      </c>
      <c r="C288" s="14">
        <v>-6.6694038271191481E-14</v>
      </c>
      <c r="D288" s="14">
        <v>4.8514798910525006E-13</v>
      </c>
      <c r="F288" s="18">
        <f t="shared" si="9"/>
        <v>5680</v>
      </c>
      <c r="G288" s="14">
        <v>4.5629278073899613E-26</v>
      </c>
    </row>
    <row r="289" spans="1:7" x14ac:dyDescent="0.55000000000000004">
      <c r="A289" s="8">
        <f t="shared" si="8"/>
        <v>1.4249999999999942E-2</v>
      </c>
      <c r="B289" s="8" cm="1">
        <f t="array" ref="B289">FAM(A289)</f>
        <v>-0.30334506222141061</v>
      </c>
      <c r="C289" s="14">
        <v>2.5570100867816718E-14</v>
      </c>
      <c r="D289" s="14">
        <v>-0.30334506222141061</v>
      </c>
      <c r="F289" s="18">
        <f t="shared" si="9"/>
        <v>5700</v>
      </c>
      <c r="G289" s="14">
        <v>4.4118915609449934E-26</v>
      </c>
    </row>
    <row r="290" spans="1:7" x14ac:dyDescent="0.55000000000000004">
      <c r="A290" s="8">
        <f t="shared" si="8"/>
        <v>1.4299999999999941E-2</v>
      </c>
      <c r="B290" s="8" cm="1">
        <f t="array" ref="B290">FAM(A290)</f>
        <v>-0.43105320975785327</v>
      </c>
      <c r="C290" s="14">
        <v>-6.0102956149868377E-14</v>
      </c>
      <c r="D290" s="14">
        <v>-0.43105320975785327</v>
      </c>
      <c r="F290" s="18">
        <f t="shared" si="9"/>
        <v>5720</v>
      </c>
      <c r="G290" s="14">
        <v>4.4045376478219383E-26</v>
      </c>
    </row>
    <row r="291" spans="1:7" x14ac:dyDescent="0.55000000000000004">
      <c r="A291" s="8">
        <f t="shared" si="8"/>
        <v>1.4349999999999941E-2</v>
      </c>
      <c r="B291" s="8" cm="1">
        <f t="array" ref="B291">FAM(A291)</f>
        <v>-0.30662685196960138</v>
      </c>
      <c r="C291" s="14">
        <v>1.9081967292534787E-14</v>
      </c>
      <c r="D291" s="14">
        <v>-0.30662685196960143</v>
      </c>
      <c r="F291" s="18">
        <f t="shared" si="9"/>
        <v>5740</v>
      </c>
      <c r="G291" s="14">
        <v>4.5198947246876021E-26</v>
      </c>
    </row>
    <row r="292" spans="1:7" x14ac:dyDescent="0.55000000000000004">
      <c r="A292" s="8">
        <f t="shared" si="8"/>
        <v>1.4399999999999941E-2</v>
      </c>
      <c r="B292" s="8" cm="1">
        <f t="array" ref="B292">FAM(A292)</f>
        <v>-5.1275095045438686E-13</v>
      </c>
      <c r="C292" s="14">
        <v>-5.8596123229533603E-14</v>
      </c>
      <c r="D292" s="14">
        <v>-5.1274478797814758E-13</v>
      </c>
      <c r="F292" s="18">
        <f t="shared" si="9"/>
        <v>5760</v>
      </c>
      <c r="G292" s="14">
        <v>4.4013139380853113E-26</v>
      </c>
    </row>
    <row r="293" spans="1:7" x14ac:dyDescent="0.55000000000000004">
      <c r="A293" s="8">
        <f t="shared" si="8"/>
        <v>1.444999999999994E-2</v>
      </c>
      <c r="B293" s="8" cm="1">
        <f t="array" ref="B293">FAM(A293)</f>
        <v>0.31131280155454161</v>
      </c>
      <c r="C293" s="14">
        <v>1.7231175177836504E-14</v>
      </c>
      <c r="D293" s="14">
        <v>0.31131280155454166</v>
      </c>
      <c r="F293" s="18">
        <f t="shared" si="9"/>
        <v>5780</v>
      </c>
      <c r="G293" s="14">
        <v>4.3449495929960854E-26</v>
      </c>
    </row>
    <row r="294" spans="1:7" x14ac:dyDescent="0.55000000000000004">
      <c r="A294" s="8">
        <f t="shared" si="8"/>
        <v>1.449999999999994E-2</v>
      </c>
      <c r="B294" s="8" cm="1">
        <f t="array" ref="B294">FAM(A294)</f>
        <v>0.44424634841648863</v>
      </c>
      <c r="C294" s="14">
        <v>-5.7575019337121475E-14</v>
      </c>
      <c r="D294" s="14">
        <v>0.44424634841648875</v>
      </c>
      <c r="F294" s="18">
        <f t="shared" si="9"/>
        <v>5800</v>
      </c>
      <c r="G294" s="14">
        <v>4.308275992594413E-26</v>
      </c>
    </row>
    <row r="295" spans="1:7" x14ac:dyDescent="0.55000000000000004">
      <c r="A295" s="8">
        <f t="shared" si="8"/>
        <v>1.454999999999994E-2</v>
      </c>
      <c r="B295" s="8" cm="1">
        <f t="array" ref="B295">FAM(A295)</f>
        <v>0.31723133913363832</v>
      </c>
      <c r="C295" s="14">
        <v>1.5531501095838531E-14</v>
      </c>
      <c r="D295" s="14">
        <v>0.31723133913363849</v>
      </c>
      <c r="F295" s="18">
        <f t="shared" si="9"/>
        <v>5820</v>
      </c>
      <c r="G295" s="14">
        <v>4.0989170872324822E-26</v>
      </c>
    </row>
    <row r="296" spans="1:7" x14ac:dyDescent="0.55000000000000004">
      <c r="A296" s="8">
        <f t="shared" si="8"/>
        <v>1.4599999999999939E-2</v>
      </c>
      <c r="B296" s="8" cm="1">
        <f t="array" ref="B296">FAM(A296)</f>
        <v>5.3721317082308839E-13</v>
      </c>
      <c r="C296" s="14">
        <v>-5.3046066888098345E-14</v>
      </c>
      <c r="D296" s="14">
        <v>5.3720133408297438E-13</v>
      </c>
      <c r="F296" s="18">
        <f t="shared" si="9"/>
        <v>5840</v>
      </c>
      <c r="G296" s="14">
        <v>4.4081305990840298E-26</v>
      </c>
    </row>
    <row r="297" spans="1:7" x14ac:dyDescent="0.55000000000000004">
      <c r="A297" s="8">
        <f t="shared" si="8"/>
        <v>1.4649999999999939E-2</v>
      </c>
      <c r="B297" s="8" cm="1">
        <f t="array" ref="B297">FAM(A297)</f>
        <v>-0.32418921877429169</v>
      </c>
      <c r="C297" s="14">
        <v>1.1748689130301381E-14</v>
      </c>
      <c r="D297" s="14">
        <v>-0.32418921877429163</v>
      </c>
      <c r="F297" s="18">
        <f t="shared" si="9"/>
        <v>5860</v>
      </c>
      <c r="G297" s="14">
        <v>4.4031543560238945E-26</v>
      </c>
    </row>
    <row r="298" spans="1:7" x14ac:dyDescent="0.55000000000000004">
      <c r="A298" s="8">
        <f t="shared" si="8"/>
        <v>1.4699999999999939E-2</v>
      </c>
      <c r="B298" s="8" cm="1">
        <f t="array" ref="B298">FAM(A298)</f>
        <v>-0.46385135238020103</v>
      </c>
      <c r="C298" s="14">
        <v>-5.0839577033469457E-14</v>
      </c>
      <c r="D298" s="14">
        <v>-0.46385135238020103</v>
      </c>
      <c r="F298" s="18">
        <f t="shared" si="9"/>
        <v>5880</v>
      </c>
      <c r="G298" s="14">
        <v>4.1483460755600744E-26</v>
      </c>
    </row>
    <row r="299" spans="1:7" x14ac:dyDescent="0.55000000000000004">
      <c r="A299" s="8">
        <f t="shared" si="8"/>
        <v>1.4749999999999939E-2</v>
      </c>
      <c r="B299" s="8" cm="1">
        <f t="array" ref="B299">FAM(A299)</f>
        <v>-0.331974962357029</v>
      </c>
      <c r="C299" s="14">
        <v>1.0379834135250963E-14</v>
      </c>
      <c r="D299" s="14">
        <v>-0.33197496235702895</v>
      </c>
      <c r="F299" s="18">
        <f t="shared" si="9"/>
        <v>5900</v>
      </c>
      <c r="G299" s="14">
        <v>4.2125677489147465E-26</v>
      </c>
    </row>
    <row r="300" spans="1:7" x14ac:dyDescent="0.55000000000000004">
      <c r="A300" s="8">
        <f t="shared" si="8"/>
        <v>1.4799999999999938E-2</v>
      </c>
      <c r="B300" s="8" cm="1">
        <f t="array" ref="B300">FAM(A300)</f>
        <v>-5.6833563822939527E-13</v>
      </c>
      <c r="C300" s="14">
        <v>-5.0295196276030936E-14</v>
      </c>
      <c r="D300" s="14">
        <v>-5.6832428005793862E-13</v>
      </c>
      <c r="F300" s="18">
        <f t="shared" si="9"/>
        <v>5920</v>
      </c>
      <c r="G300" s="14">
        <v>4.01088963488333E-26</v>
      </c>
    </row>
    <row r="301" spans="1:7" x14ac:dyDescent="0.55000000000000004">
      <c r="A301" s="8">
        <f t="shared" si="8"/>
        <v>1.4849999999999938E-2</v>
      </c>
      <c r="B301" s="8" cm="1">
        <f t="array" ref="B301">FAM(A301)</f>
        <v>0.3403625962533165</v>
      </c>
      <c r="C301" s="14">
        <v>1.0136302747168189E-14</v>
      </c>
      <c r="D301" s="14">
        <v>0.34036259625331666</v>
      </c>
      <c r="F301" s="18">
        <f t="shared" si="9"/>
        <v>5940</v>
      </c>
      <c r="G301" s="14">
        <v>4.0906623261182147E-26</v>
      </c>
    </row>
    <row r="302" spans="1:7" x14ac:dyDescent="0.55000000000000004">
      <c r="A302" s="8">
        <f t="shared" si="8"/>
        <v>1.4899999999999938E-2</v>
      </c>
      <c r="B302" s="8" cm="1">
        <f t="array" ref="B302">FAM(A302)</f>
        <v>0.48749145719299236</v>
      </c>
      <c r="C302" s="14">
        <v>-4.7751948500566343E-14</v>
      </c>
      <c r="D302" s="14">
        <v>0.48749145719299231</v>
      </c>
      <c r="F302" s="18">
        <f t="shared" si="9"/>
        <v>5960</v>
      </c>
      <c r="G302" s="14">
        <v>4.1424593727210707E-26</v>
      </c>
    </row>
    <row r="303" spans="1:7" x14ac:dyDescent="0.55000000000000004">
      <c r="A303" s="8">
        <f t="shared" si="8"/>
        <v>1.4949999999999937E-2</v>
      </c>
      <c r="B303" s="8" cm="1">
        <f t="array" ref="B303">FAM(A303)</f>
        <v>0.34911562231228838</v>
      </c>
      <c r="C303" s="15">
        <v>7.3648531038837926E-15</v>
      </c>
      <c r="D303" s="15">
        <v>0.34911562231228854</v>
      </c>
      <c r="F303" s="38">
        <f t="shared" si="9"/>
        <v>5980</v>
      </c>
      <c r="G303" s="36">
        <v>4.1450490570811955E-26</v>
      </c>
    </row>
    <row r="304" spans="1:7" x14ac:dyDescent="0.55000000000000004">
      <c r="A304" s="4">
        <f t="shared" si="8"/>
        <v>1.4999999999999937E-2</v>
      </c>
      <c r="B304" s="4" cm="1">
        <f t="array" ref="B304">FAM(A304)</f>
        <v>6.174355350898766E-13</v>
      </c>
      <c r="C304" s="13">
        <v>-4.5274793469584077E-14</v>
      </c>
      <c r="D304" s="13">
        <v>6.1742324163431238E-13</v>
      </c>
      <c r="F304" s="17">
        <f t="shared" si="9"/>
        <v>6000</v>
      </c>
      <c r="G304" s="13">
        <v>4.2263419366493359E-26</v>
      </c>
    </row>
    <row r="305" spans="1:7" x14ac:dyDescent="0.55000000000000004">
      <c r="A305" s="8">
        <f t="shared" si="8"/>
        <v>1.5049999999999937E-2</v>
      </c>
      <c r="B305" s="8" cm="1">
        <f t="array" ref="B305">FAM(A305)</f>
        <v>-0.35799115887423211</v>
      </c>
      <c r="C305" s="14">
        <v>5.9128655986340299E-15</v>
      </c>
      <c r="D305" s="14">
        <v>-0.35799115887423211</v>
      </c>
      <c r="F305" s="18">
        <f t="shared" si="9"/>
        <v>6020</v>
      </c>
      <c r="G305" s="14">
        <v>3.7290749288363762E-26</v>
      </c>
    </row>
    <row r="306" spans="1:7" x14ac:dyDescent="0.55000000000000004">
      <c r="A306" s="8">
        <f t="shared" si="8"/>
        <v>1.5099999999999936E-2</v>
      </c>
      <c r="B306" s="8" cm="1">
        <f t="array" ref="B306">FAM(A306)</f>
        <v>-0.51250854280698821</v>
      </c>
      <c r="C306" s="14">
        <v>-4.4656240880918206E-14</v>
      </c>
      <c r="D306" s="14">
        <v>-0.51250854280698821</v>
      </c>
      <c r="F306" s="18">
        <f t="shared" si="9"/>
        <v>6040</v>
      </c>
      <c r="G306" s="14">
        <v>3.743948610204538E-26</v>
      </c>
    </row>
    <row r="307" spans="1:7" x14ac:dyDescent="0.55000000000000004">
      <c r="A307" s="8">
        <f t="shared" si="8"/>
        <v>1.5149999999999936E-2</v>
      </c>
      <c r="B307" s="8" cm="1">
        <f t="array" ref="B307">FAM(A307)</f>
        <v>-0.36674418493325583</v>
      </c>
      <c r="C307" s="14">
        <v>6.238558600594015E-15</v>
      </c>
      <c r="D307" s="14">
        <v>-0.36674418493325572</v>
      </c>
      <c r="F307" s="18">
        <f t="shared" si="9"/>
        <v>6060</v>
      </c>
      <c r="G307" s="14">
        <v>3.8567210839191001E-26</v>
      </c>
    </row>
    <row r="308" spans="1:7" x14ac:dyDescent="0.55000000000000004">
      <c r="A308" s="8">
        <f t="shared" si="8"/>
        <v>1.5199999999999936E-2</v>
      </c>
      <c r="B308" s="8" cm="1">
        <f t="array" ref="B308">FAM(A308)</f>
        <v>-6.5355772240612709E-13</v>
      </c>
      <c r="C308" s="14">
        <v>-4.2828653571870686E-14</v>
      </c>
      <c r="D308" s="14">
        <v>-6.5354567142924437E-13</v>
      </c>
      <c r="F308" s="18">
        <f t="shared" si="9"/>
        <v>6080</v>
      </c>
      <c r="G308" s="14">
        <v>3.6642391628397391E-26</v>
      </c>
    </row>
    <row r="309" spans="1:7" x14ac:dyDescent="0.55000000000000004">
      <c r="A309" s="8">
        <f t="shared" si="8"/>
        <v>1.5249999999999935E-2</v>
      </c>
      <c r="B309" s="8" cm="1">
        <f t="array" ref="B309">FAM(A309)</f>
        <v>0.37513181882943358</v>
      </c>
      <c r="C309" s="14">
        <v>4.6917148644158609E-15</v>
      </c>
      <c r="D309" s="14">
        <v>0.37513181882943375</v>
      </c>
      <c r="F309" s="18">
        <f t="shared" si="9"/>
        <v>6100</v>
      </c>
      <c r="G309" s="14">
        <v>3.6577621805754224E-26</v>
      </c>
    </row>
    <row r="310" spans="1:7" x14ac:dyDescent="0.55000000000000004">
      <c r="A310" s="8">
        <f t="shared" si="8"/>
        <v>1.5299999999999935E-2</v>
      </c>
      <c r="B310" s="8" cm="1">
        <f t="array" ref="B310">FAM(A310)</f>
        <v>0.53614864761978165</v>
      </c>
      <c r="C310" s="14">
        <v>-4.0535023351010901E-14</v>
      </c>
      <c r="D310" s="14">
        <v>0.53614864761978143</v>
      </c>
      <c r="F310" s="18">
        <f t="shared" si="9"/>
        <v>6120</v>
      </c>
      <c r="G310" s="14">
        <v>3.9808225859002489E-26</v>
      </c>
    </row>
    <row r="311" spans="1:7" x14ac:dyDescent="0.55000000000000004">
      <c r="A311" s="8">
        <f t="shared" si="8"/>
        <v>1.5349999999999935E-2</v>
      </c>
      <c r="B311" s="8" cm="1">
        <f t="array" ref="B311">FAM(A311)</f>
        <v>0.38291756241235025</v>
      </c>
      <c r="C311" s="14">
        <v>3.4742788540410235E-15</v>
      </c>
      <c r="D311" s="14">
        <v>0.38291756241235042</v>
      </c>
      <c r="F311" s="18">
        <f t="shared" si="9"/>
        <v>6140</v>
      </c>
      <c r="G311" s="14">
        <v>4.176017581966541E-26</v>
      </c>
    </row>
    <row r="312" spans="1:7" x14ac:dyDescent="0.55000000000000004">
      <c r="A312" s="8">
        <f t="shared" si="8"/>
        <v>1.5399999999999935E-2</v>
      </c>
      <c r="B312" s="8" cm="1">
        <f t="array" ref="B312">FAM(A312)</f>
        <v>7.0231758288407228E-13</v>
      </c>
      <c r="C312" s="14">
        <v>-4.0224103731324165E-14</v>
      </c>
      <c r="D312" s="14">
        <v>7.0230946336892593E-13</v>
      </c>
      <c r="F312" s="18">
        <f t="shared" si="9"/>
        <v>6160</v>
      </c>
      <c r="G312" s="14">
        <v>3.6571579854507774E-26</v>
      </c>
    </row>
    <row r="313" spans="1:7" x14ac:dyDescent="0.55000000000000004">
      <c r="A313" s="8">
        <f t="shared" si="8"/>
        <v>1.5449999999999934E-2</v>
      </c>
      <c r="B313" s="8" cm="1">
        <f t="array" ref="B313">FAM(A313)</f>
        <v>-0.38987544205277208</v>
      </c>
      <c r="C313" s="14">
        <v>3.501999248736522E-15</v>
      </c>
      <c r="D313" s="14">
        <v>-0.38987544205277219</v>
      </c>
      <c r="F313" s="18">
        <f t="shared" si="9"/>
        <v>6180</v>
      </c>
      <c r="G313" s="14">
        <v>3.8761142253133425E-26</v>
      </c>
    </row>
    <row r="314" spans="1:7" x14ac:dyDescent="0.55000000000000004">
      <c r="A314" s="8">
        <f t="shared" si="8"/>
        <v>1.5499999999999934E-2</v>
      </c>
      <c r="B314" s="8" cm="1">
        <f t="array" ref="B314">FAM(A314)</f>
        <v>-0.55575365158349821</v>
      </c>
      <c r="C314" s="14">
        <v>-3.9137455010740658E-14</v>
      </c>
      <c r="D314" s="14">
        <v>-0.5557536515834981</v>
      </c>
      <c r="F314" s="18">
        <f t="shared" si="9"/>
        <v>6200</v>
      </c>
      <c r="G314" s="14">
        <v>3.6552261446487466E-26</v>
      </c>
    </row>
    <row r="315" spans="1:7" x14ac:dyDescent="0.55000000000000004">
      <c r="A315" s="8">
        <f t="shared" si="8"/>
        <v>1.5549999999999934E-2</v>
      </c>
      <c r="B315" s="8" cm="1">
        <f t="array" ref="B315">FAM(A315)</f>
        <v>-0.39579397963214297</v>
      </c>
      <c r="C315" s="14">
        <v>2.6452623108442077E-15</v>
      </c>
      <c r="D315" s="14">
        <v>-0.39579397963214297</v>
      </c>
      <c r="F315" s="18">
        <f t="shared" si="9"/>
        <v>6220</v>
      </c>
      <c r="G315" s="14">
        <v>3.6735946720017185E-26</v>
      </c>
    </row>
    <row r="316" spans="1:7" x14ac:dyDescent="0.55000000000000004">
      <c r="A316" s="8">
        <f t="shared" si="8"/>
        <v>1.5599999999999933E-2</v>
      </c>
      <c r="B316" s="8" cm="1">
        <f t="array" ref="B316">FAM(A316)</f>
        <v>-7.2981089981511777E-13</v>
      </c>
      <c r="C316" s="14">
        <v>-3.7257719958997084E-14</v>
      </c>
      <c r="D316" s="14">
        <v>-7.29802598025878E-13</v>
      </c>
      <c r="F316" s="18">
        <f t="shared" si="9"/>
        <v>6240</v>
      </c>
      <c r="G316" s="14">
        <v>3.8739103999390452E-26</v>
      </c>
    </row>
    <row r="317" spans="1:7" x14ac:dyDescent="0.55000000000000004">
      <c r="A317" s="8">
        <f t="shared" si="8"/>
        <v>1.5649999999999935E-2</v>
      </c>
      <c r="B317" s="8" cm="1">
        <f t="array" ref="B317">FAM(A317)</f>
        <v>0.40047992921679065</v>
      </c>
      <c r="C317" s="14">
        <v>1.3649444399459132E-15</v>
      </c>
      <c r="D317" s="14">
        <v>0.40047992921679082</v>
      </c>
      <c r="F317" s="18">
        <f t="shared" si="9"/>
        <v>6260</v>
      </c>
      <c r="G317" s="14">
        <v>3.6796005668327426E-26</v>
      </c>
    </row>
    <row r="318" spans="1:7" x14ac:dyDescent="0.55000000000000004">
      <c r="A318" s="8">
        <f t="shared" si="8"/>
        <v>1.5699999999999936E-2</v>
      </c>
      <c r="B318" s="8" cm="1">
        <f t="array" ref="B318">FAM(A318)</f>
        <v>0.56894679024213957</v>
      </c>
      <c r="C318" s="14">
        <v>-3.6268411493792963E-14</v>
      </c>
      <c r="D318" s="14">
        <v>0.56894679024213946</v>
      </c>
      <c r="F318" s="18">
        <f t="shared" si="9"/>
        <v>6280</v>
      </c>
      <c r="G318" s="14">
        <v>3.7196994656877782E-26</v>
      </c>
    </row>
    <row r="319" spans="1:7" x14ac:dyDescent="0.55000000000000004">
      <c r="A319" s="8">
        <f t="shared" si="8"/>
        <v>1.5749999999999938E-2</v>
      </c>
      <c r="B319" s="8" cm="1">
        <f t="array" ref="B319">FAM(A319)</f>
        <v>0.40376171896529145</v>
      </c>
      <c r="C319" s="14">
        <v>1.4137790737059441E-15</v>
      </c>
      <c r="D319" s="14">
        <v>0.40376171896529156</v>
      </c>
      <c r="F319" s="18">
        <f t="shared" si="9"/>
        <v>6300</v>
      </c>
      <c r="G319" s="14">
        <v>3.5431897177020064E-26</v>
      </c>
    </row>
    <row r="320" spans="1:7" x14ac:dyDescent="0.55000000000000004">
      <c r="A320" s="8">
        <f t="shared" si="8"/>
        <v>1.5799999999999939E-2</v>
      </c>
      <c r="B320" s="8" cm="1">
        <f t="array" ref="B320">FAM(A320)</f>
        <v>6.9912655189106907E-13</v>
      </c>
      <c r="C320" s="14">
        <v>-3.566399356297784E-14</v>
      </c>
      <c r="D320" s="14">
        <v>6.991263845701804E-13</v>
      </c>
      <c r="F320" s="18">
        <f t="shared" si="9"/>
        <v>6320</v>
      </c>
      <c r="G320" s="14">
        <v>3.4302897934854979E-26</v>
      </c>
    </row>
    <row r="321" spans="1:7" x14ac:dyDescent="0.55000000000000004">
      <c r="A321" s="8">
        <f t="shared" si="8"/>
        <v>1.5849999999999941E-2</v>
      </c>
      <c r="B321" s="8" cm="1">
        <f t="array" ref="B321">FAM(A321)</f>
        <v>-0.40549254236802795</v>
      </c>
      <c r="C321" s="14">
        <v>2.066132900024645E-15</v>
      </c>
      <c r="D321" s="14">
        <v>-0.40549254236802801</v>
      </c>
      <c r="F321" s="18">
        <f t="shared" si="9"/>
        <v>6340</v>
      </c>
      <c r="G321" s="14">
        <v>3.6046823190207462E-26</v>
      </c>
    </row>
    <row r="322" spans="1:7" x14ac:dyDescent="0.55000000000000004">
      <c r="A322" s="8">
        <f t="shared" si="8"/>
        <v>1.5899999999999942E-2</v>
      </c>
      <c r="B322" s="8" cm="1">
        <f t="array" ref="B322">FAM(A322)</f>
        <v>-0.57380005149740454</v>
      </c>
      <c r="C322" s="14">
        <v>-3.3770798446513125E-14</v>
      </c>
      <c r="D322" s="14">
        <v>-0.57380005149740432</v>
      </c>
      <c r="F322" s="18">
        <f t="shared" si="9"/>
        <v>6360</v>
      </c>
      <c r="G322" s="14">
        <v>3.7458898147239747E-26</v>
      </c>
    </row>
    <row r="323" spans="1:7" x14ac:dyDescent="0.55000000000000004">
      <c r="A323" s="8">
        <f t="shared" si="8"/>
        <v>1.5949999999999943E-2</v>
      </c>
      <c r="B323" s="8" cm="1">
        <f t="array" ref="B323">FAM(A323)</f>
        <v>-0.40555304861131813</v>
      </c>
      <c r="C323" s="14">
        <v>4.5641551376775533E-16</v>
      </c>
      <c r="D323" s="14">
        <v>-0.40555304861131802</v>
      </c>
      <c r="F323" s="18">
        <f t="shared" si="9"/>
        <v>6380</v>
      </c>
      <c r="G323" s="14">
        <v>3.5255001501200366E-26</v>
      </c>
    </row>
    <row r="324" spans="1:7" x14ac:dyDescent="0.55000000000000004">
      <c r="A324" s="8">
        <f t="shared" si="8"/>
        <v>1.5999999999999945E-2</v>
      </c>
      <c r="B324" s="8" cm="1">
        <f t="array" ref="B324">FAM(A324)</f>
        <v>-6.4036709189178062E-13</v>
      </c>
      <c r="C324" s="14">
        <v>-3.3792865420719358E-14</v>
      </c>
      <c r="D324" s="14">
        <v>-6.4036572971298956E-13</v>
      </c>
      <c r="F324" s="18">
        <f t="shared" si="9"/>
        <v>6400</v>
      </c>
      <c r="G324" s="14">
        <v>3.4703430115061767E-26</v>
      </c>
    </row>
    <row r="325" spans="1:7" x14ac:dyDescent="0.55000000000000004">
      <c r="A325" s="8">
        <f t="shared" si="8"/>
        <v>1.6049999999999946E-2</v>
      </c>
      <c r="B325" s="8" cm="1">
        <f t="array" ref="B325">FAM(A325)</f>
        <v>0.40385358809324851</v>
      </c>
      <c r="C325" s="14">
        <v>4.3148023288375768E-16</v>
      </c>
      <c r="D325" s="14">
        <v>0.40385358809324862</v>
      </c>
      <c r="F325" s="18">
        <f t="shared" si="9"/>
        <v>6420</v>
      </c>
      <c r="G325" s="14">
        <v>3.2779513111279761E-26</v>
      </c>
    </row>
    <row r="326" spans="1:7" x14ac:dyDescent="0.55000000000000004">
      <c r="A326" s="8">
        <f t="shared" ref="A326:A389" si="10">A325+0.00005</f>
        <v>1.6099999999999948E-2</v>
      </c>
      <c r="B326" s="8" cm="1">
        <f t="array" ref="B326">FAM(A326)</f>
        <v>0.56897265219600324</v>
      </c>
      <c r="C326" s="14">
        <v>-3.3202315148963955E-14</v>
      </c>
      <c r="D326" s="14">
        <v>0.56897265219600335</v>
      </c>
      <c r="F326" s="18">
        <f t="shared" ref="F326:F389" si="11">20000/1000+F325</f>
        <v>6440</v>
      </c>
      <c r="G326" s="14">
        <v>3.3172241653127713E-26</v>
      </c>
    </row>
    <row r="327" spans="1:7" x14ac:dyDescent="0.55000000000000004">
      <c r="A327" s="8">
        <f t="shared" si="10"/>
        <v>1.6149999999999949E-2</v>
      </c>
      <c r="B327" s="8" cm="1">
        <f t="array" ref="B327">FAM(A327)</f>
        <v>0.40033597630667572</v>
      </c>
      <c r="C327" s="14">
        <v>5.2156804309462902E-16</v>
      </c>
      <c r="D327" s="14">
        <v>0.40033597630667578</v>
      </c>
      <c r="F327" s="18">
        <f t="shared" si="11"/>
        <v>6460</v>
      </c>
      <c r="G327" s="14">
        <v>3.6925452285921773E-26</v>
      </c>
    </row>
    <row r="328" spans="1:7" x14ac:dyDescent="0.55000000000000004">
      <c r="A328" s="8">
        <f t="shared" si="10"/>
        <v>1.6199999999999951E-2</v>
      </c>
      <c r="B328" s="8" cm="1">
        <f t="array" ref="B328">FAM(A328)</f>
        <v>5.8731911530000411E-13</v>
      </c>
      <c r="C328" s="14">
        <v>-3.1761022563128415E-14</v>
      </c>
      <c r="D328" s="14">
        <v>5.873287801455406E-13</v>
      </c>
      <c r="F328" s="18">
        <f t="shared" si="11"/>
        <v>6480</v>
      </c>
      <c r="G328" s="14">
        <v>3.6220185068334379E-26</v>
      </c>
    </row>
    <row r="329" spans="1:7" x14ac:dyDescent="0.55000000000000004">
      <c r="A329" s="8">
        <f t="shared" si="10"/>
        <v>1.6249999999999952E-2</v>
      </c>
      <c r="B329" s="8" cm="1">
        <f t="array" ref="B329">FAM(A329)</f>
        <v>-0.39497474683018524</v>
      </c>
      <c r="C329" s="14">
        <v>-4.9649527975071181E-16</v>
      </c>
      <c r="D329" s="14">
        <v>-0.39497474683018546</v>
      </c>
      <c r="F329" s="18">
        <f t="shared" si="11"/>
        <v>6500</v>
      </c>
      <c r="G329" s="14">
        <v>3.218099493330546E-26</v>
      </c>
    </row>
    <row r="330" spans="1:7" x14ac:dyDescent="0.55000000000000004">
      <c r="A330" s="8">
        <f t="shared" si="10"/>
        <v>1.6299999999999953E-2</v>
      </c>
      <c r="B330" s="8" cm="1">
        <f t="array" ref="B330">FAM(A330)</f>
        <v>-0.55381162020137853</v>
      </c>
      <c r="C330" s="14">
        <v>-3.1127846684042355E-14</v>
      </c>
      <c r="D330" s="14">
        <v>-0.55381162020137864</v>
      </c>
      <c r="F330" s="38">
        <f t="shared" si="11"/>
        <v>6520</v>
      </c>
      <c r="G330" s="14">
        <v>3.1488670767066383E-26</v>
      </c>
    </row>
    <row r="331" spans="1:7" x14ac:dyDescent="0.55000000000000004">
      <c r="A331" s="8">
        <f t="shared" si="10"/>
        <v>1.6349999999999955E-2</v>
      </c>
      <c r="B331" s="8" cm="1">
        <f t="array" ref="B331">FAM(A331)</f>
        <v>-0.38777787240076184</v>
      </c>
      <c r="C331" s="14">
        <v>-9.7752703953035567E-16</v>
      </c>
      <c r="D331" s="14">
        <v>-0.38777787240076189</v>
      </c>
      <c r="F331" s="18">
        <f t="shared" si="11"/>
        <v>6540</v>
      </c>
      <c r="G331" s="14">
        <v>3.5631342090851117E-26</v>
      </c>
    </row>
    <row r="332" spans="1:7" x14ac:dyDescent="0.55000000000000004">
      <c r="A332" s="8">
        <f t="shared" si="10"/>
        <v>1.6399999999999956E-2</v>
      </c>
      <c r="B332" s="8" cm="1">
        <f t="array" ref="B332">FAM(A332)</f>
        <v>-5.1027618965050606E-13</v>
      </c>
      <c r="C332" s="14">
        <v>-3.0779449598189653E-14</v>
      </c>
      <c r="D332" s="14">
        <v>-5.1028284524548837E-13</v>
      </c>
      <c r="F332" s="18">
        <f t="shared" si="11"/>
        <v>6560</v>
      </c>
      <c r="G332" s="14">
        <v>3.0461803769633178E-26</v>
      </c>
    </row>
    <row r="333" spans="1:7" x14ac:dyDescent="0.55000000000000004">
      <c r="A333" s="8">
        <f t="shared" si="10"/>
        <v>1.6449999999999958E-2</v>
      </c>
      <c r="B333" s="8" cm="1">
        <f t="array" ref="B333">FAM(A333)</f>
        <v>0.3787869413804863</v>
      </c>
      <c r="C333" s="14">
        <v>-9.0571782358360897E-16</v>
      </c>
      <c r="D333" s="14">
        <v>0.37878694138048624</v>
      </c>
      <c r="F333" s="18">
        <f t="shared" si="11"/>
        <v>6580</v>
      </c>
      <c r="G333" s="14">
        <v>3.105901522616059E-26</v>
      </c>
    </row>
    <row r="334" spans="1:7" x14ac:dyDescent="0.55000000000000004">
      <c r="A334" s="8">
        <f t="shared" si="10"/>
        <v>1.6499999999999959E-2</v>
      </c>
      <c r="B334" s="8" cm="1">
        <f t="array" ref="B334">FAM(A334)</f>
        <v>0.52840790438404994</v>
      </c>
      <c r="C334" s="14">
        <v>-2.9286728058435095E-14</v>
      </c>
      <c r="D334" s="14">
        <v>0.52840790438404972</v>
      </c>
      <c r="F334" s="18">
        <f t="shared" si="11"/>
        <v>6600</v>
      </c>
      <c r="G334" s="14">
        <v>3.2657702194286964E-26</v>
      </c>
    </row>
    <row r="335" spans="1:7" x14ac:dyDescent="0.55000000000000004">
      <c r="A335" s="8">
        <f t="shared" si="10"/>
        <v>1.6549999999999961E-2</v>
      </c>
      <c r="B335" s="8" cm="1">
        <f t="array" ref="B335">FAM(A335)</f>
        <v>0.36807678569403313</v>
      </c>
      <c r="C335" s="14">
        <v>-1.2553532530206598E-15</v>
      </c>
      <c r="D335" s="14">
        <v>0.36807678569403313</v>
      </c>
      <c r="F335" s="18">
        <f t="shared" si="11"/>
        <v>6620</v>
      </c>
      <c r="G335" s="14">
        <v>3.4146943204122269E-26</v>
      </c>
    </row>
    <row r="336" spans="1:7" x14ac:dyDescent="0.55000000000000004">
      <c r="A336" s="8">
        <f t="shared" si="10"/>
        <v>1.6599999999999962E-2</v>
      </c>
      <c r="B336" s="8" cm="1">
        <f t="array" ref="B336">FAM(A336)</f>
        <v>4.2911243843785507E-13</v>
      </c>
      <c r="C336" s="14">
        <v>-2.8575733995607333E-14</v>
      </c>
      <c r="D336" s="14">
        <v>4.2913133653563037E-13</v>
      </c>
      <c r="F336" s="18">
        <f t="shared" si="11"/>
        <v>6640</v>
      </c>
      <c r="G336" s="14">
        <v>3.6711511469523317E-26</v>
      </c>
    </row>
    <row r="337" spans="1:7" x14ac:dyDescent="0.55000000000000004">
      <c r="A337" s="8">
        <f t="shared" si="10"/>
        <v>1.6649999999999963E-2</v>
      </c>
      <c r="B337" s="8" cm="1">
        <f t="array" ref="B337">FAM(A337)</f>
        <v>-0.3557545649352401</v>
      </c>
      <c r="C337" s="14">
        <v>-1.6882271124414341E-15</v>
      </c>
      <c r="D337" s="14">
        <v>-0.35575456493524005</v>
      </c>
      <c r="F337" s="18">
        <f t="shared" si="11"/>
        <v>6660</v>
      </c>
      <c r="G337" s="14">
        <v>3.1032490726511867E-26</v>
      </c>
    </row>
    <row r="338" spans="1:7" x14ac:dyDescent="0.55000000000000004">
      <c r="A338" s="8">
        <f t="shared" si="10"/>
        <v>1.6699999999999965E-2</v>
      </c>
      <c r="B338" s="8" cm="1">
        <f t="array" ref="B338">FAM(A338)</f>
        <v>-0.49360424909164058</v>
      </c>
      <c r="C338" s="14">
        <v>-2.829348056879443E-14</v>
      </c>
      <c r="D338" s="14">
        <v>-0.49360424909164036</v>
      </c>
      <c r="F338" s="18">
        <f t="shared" si="11"/>
        <v>6680</v>
      </c>
      <c r="G338" s="14">
        <v>3.0948006686501619E-26</v>
      </c>
    </row>
    <row r="339" spans="1:7" x14ac:dyDescent="0.55000000000000004">
      <c r="A339" s="8">
        <f t="shared" si="10"/>
        <v>1.6749999999999966E-2</v>
      </c>
      <c r="B339" s="8" cm="1">
        <f t="array" ref="B339">FAM(A339)</f>
        <v>-0.34195832009008736</v>
      </c>
      <c r="C339" s="14">
        <v>-1.4101070441130568E-15</v>
      </c>
      <c r="D339" s="14">
        <v>-0.3419583200900872</v>
      </c>
      <c r="F339" s="18">
        <f t="shared" si="11"/>
        <v>6700</v>
      </c>
      <c r="G339" s="14">
        <v>3.6214545981276369E-26</v>
      </c>
    </row>
    <row r="340" spans="1:7" x14ac:dyDescent="0.55000000000000004">
      <c r="A340" s="8">
        <f t="shared" si="10"/>
        <v>1.6799999999999968E-2</v>
      </c>
      <c r="B340" s="8" cm="1">
        <f t="array" ref="B340">FAM(A340)</f>
        <v>-3.7466982870963889E-13</v>
      </c>
      <c r="C340" s="14">
        <v>-2.7748755594415479E-14</v>
      </c>
      <c r="D340" s="14">
        <v>-3.746831546880772E-13</v>
      </c>
      <c r="F340" s="18">
        <f t="shared" si="11"/>
        <v>6720</v>
      </c>
      <c r="G340" s="14">
        <v>3.5566353509422192E-26</v>
      </c>
    </row>
    <row r="341" spans="1:7" x14ac:dyDescent="0.55000000000000004">
      <c r="A341" s="8">
        <f t="shared" si="10"/>
        <v>1.6849999999999969E-2</v>
      </c>
      <c r="B341" s="8" cm="1">
        <f t="array" ref="B341">FAM(A341)</f>
        <v>0.3268550186801239</v>
      </c>
      <c r="C341" s="14">
        <v>-1.9429737403501767E-15</v>
      </c>
      <c r="D341" s="14">
        <v>0.32685501868012401</v>
      </c>
      <c r="F341" s="18">
        <f t="shared" si="11"/>
        <v>6740</v>
      </c>
      <c r="G341" s="14">
        <v>3.0973357807092605E-26</v>
      </c>
    </row>
    <row r="342" spans="1:7" x14ac:dyDescent="0.55000000000000004">
      <c r="A342" s="8">
        <f t="shared" si="10"/>
        <v>1.6899999999999971E-2</v>
      </c>
      <c r="B342" s="8" cm="1">
        <f t="array" ref="B342">FAM(A342)</f>
        <v>0.45095412400809853</v>
      </c>
      <c r="C342" s="14">
        <v>-2.6633875088319159E-14</v>
      </c>
      <c r="D342" s="14">
        <v>0.45095412400809837</v>
      </c>
      <c r="F342" s="18">
        <f t="shared" si="11"/>
        <v>6760</v>
      </c>
      <c r="G342" s="14">
        <v>4.489669984542276E-26</v>
      </c>
    </row>
    <row r="343" spans="1:7" x14ac:dyDescent="0.55000000000000004">
      <c r="A343" s="8">
        <f t="shared" si="10"/>
        <v>1.6949999999999972E-2</v>
      </c>
      <c r="B343" s="8" cm="1">
        <f t="array" ref="B343">FAM(A343)</f>
        <v>0.31063812131885071</v>
      </c>
      <c r="C343" s="14">
        <v>-2.5790296914927549E-15</v>
      </c>
      <c r="D343" s="14">
        <v>0.31063812131885077</v>
      </c>
      <c r="F343" s="18">
        <f t="shared" si="11"/>
        <v>6780</v>
      </c>
      <c r="G343" s="14">
        <v>2.5344627424315648E-26</v>
      </c>
    </row>
    <row r="344" spans="1:7" x14ac:dyDescent="0.55000000000000004">
      <c r="A344" s="8">
        <f t="shared" si="10"/>
        <v>1.6999999999999973E-2</v>
      </c>
      <c r="B344" s="8" cm="1">
        <f t="array" ref="B344">FAM(A344)</f>
        <v>2.9443173720789865E-13</v>
      </c>
      <c r="C344" s="14">
        <v>-2.6645350758102458E-14</v>
      </c>
      <c r="D344" s="14">
        <v>2.9445682632030155E-13</v>
      </c>
      <c r="F344" s="18">
        <f t="shared" si="11"/>
        <v>6800</v>
      </c>
      <c r="G344" s="14">
        <v>1.5349968761832514E-26</v>
      </c>
    </row>
    <row r="345" spans="1:7" x14ac:dyDescent="0.55000000000000004">
      <c r="A345" s="8">
        <f t="shared" si="10"/>
        <v>1.7049999999999975E-2</v>
      </c>
      <c r="B345" s="8" cm="1">
        <f t="array" ref="B345">FAM(A345)</f>
        <v>-0.29352470723274926</v>
      </c>
      <c r="C345" s="14">
        <v>-2.1704589562923596E-15</v>
      </c>
      <c r="D345" s="14">
        <v>-0.29352470723274937</v>
      </c>
      <c r="F345" s="18">
        <f t="shared" si="11"/>
        <v>6820</v>
      </c>
      <c r="G345" s="14">
        <v>2.5781870825112953E-26</v>
      </c>
    </row>
    <row r="346" spans="1:7" x14ac:dyDescent="0.55000000000000004">
      <c r="A346" s="8">
        <f t="shared" si="10"/>
        <v>1.7099999999999976E-2</v>
      </c>
      <c r="B346" s="8" cm="1">
        <f t="array" ref="B346">FAM(A346)</f>
        <v>-0.40263410259462712</v>
      </c>
      <c r="C346" s="14">
        <v>-2.6017741981009911E-14</v>
      </c>
      <c r="D346" s="14">
        <v>-0.40263410259462701</v>
      </c>
      <c r="F346" s="18">
        <f t="shared" si="11"/>
        <v>6840</v>
      </c>
      <c r="G346" s="14">
        <v>3.3387740068329571E-26</v>
      </c>
    </row>
    <row r="347" spans="1:7" x14ac:dyDescent="0.55000000000000004">
      <c r="A347" s="8">
        <f t="shared" si="10"/>
        <v>1.7149999999999978E-2</v>
      </c>
      <c r="B347" s="8" cm="1">
        <f t="array" ref="B347">FAM(A347)</f>
        <v>-0.27575220341624213</v>
      </c>
      <c r="C347" s="14">
        <v>-2.3542524379607538E-15</v>
      </c>
      <c r="D347" s="14">
        <v>-0.27575220341624207</v>
      </c>
      <c r="F347" s="18">
        <f t="shared" si="11"/>
        <v>6860</v>
      </c>
      <c r="G347" s="14">
        <v>3.1181312309243349E-26</v>
      </c>
    </row>
    <row r="348" spans="1:7" x14ac:dyDescent="0.55000000000000004">
      <c r="A348" s="8">
        <f t="shared" si="10"/>
        <v>1.7199999999999979E-2</v>
      </c>
      <c r="B348" s="8" cm="1">
        <f t="array" ref="B348">FAM(A348)</f>
        <v>-2.2104712884705838E-13</v>
      </c>
      <c r="C348" s="14">
        <v>-2.510302764792641E-14</v>
      </c>
      <c r="D348" s="14">
        <v>-2.2106366679686074E-13</v>
      </c>
      <c r="F348" s="18">
        <f t="shared" si="11"/>
        <v>6880</v>
      </c>
      <c r="G348" s="14">
        <v>3.3058260506808168E-26</v>
      </c>
    </row>
    <row r="349" spans="1:7" x14ac:dyDescent="0.55000000000000004">
      <c r="A349" s="8">
        <f t="shared" si="10"/>
        <v>1.7249999999999981E-2</v>
      </c>
      <c r="B349" s="8" cm="1">
        <f t="array" ref="B349">FAM(A349)</f>
        <v>0.25757476837127607</v>
      </c>
      <c r="C349" s="14">
        <v>-2.6187687424216862E-15</v>
      </c>
      <c r="D349" s="14">
        <v>0.25757476837127613</v>
      </c>
      <c r="F349" s="18">
        <f t="shared" si="11"/>
        <v>6900</v>
      </c>
      <c r="G349" s="14">
        <v>3.0958471122403198E-26</v>
      </c>
    </row>
    <row r="350" spans="1:7" x14ac:dyDescent="0.55000000000000004">
      <c r="A350" s="8">
        <f t="shared" si="10"/>
        <v>1.7299999999999982E-2</v>
      </c>
      <c r="B350" s="8" cm="1">
        <f t="array" ref="B350">FAM(A350)</f>
        <v>0.35131503717008478</v>
      </c>
      <c r="C350" s="14">
        <v>-2.4804844823597046E-14</v>
      </c>
      <c r="D350" s="14">
        <v>0.35131503717008478</v>
      </c>
      <c r="F350" s="18">
        <f t="shared" si="11"/>
        <v>6920</v>
      </c>
      <c r="G350" s="14">
        <v>2.6577809909421017E-26</v>
      </c>
    </row>
    <row r="351" spans="1:7" x14ac:dyDescent="0.55000000000000004">
      <c r="A351" s="8">
        <f t="shared" si="10"/>
        <v>1.7349999999999983E-2</v>
      </c>
      <c r="B351" s="8" cm="1">
        <f t="array" ref="B351">FAM(A351)</f>
        <v>0.23925938698321053</v>
      </c>
      <c r="C351" s="14">
        <v>-2.7655183347996143E-15</v>
      </c>
      <c r="D351" s="14">
        <v>0.23925938698321048</v>
      </c>
      <c r="F351" s="18">
        <f t="shared" si="11"/>
        <v>6940</v>
      </c>
      <c r="G351" s="14">
        <v>2.8607271564069271E-26</v>
      </c>
    </row>
    <row r="352" spans="1:7" x14ac:dyDescent="0.55000000000000004">
      <c r="A352" s="8">
        <f t="shared" si="10"/>
        <v>1.7399999999999985E-2</v>
      </c>
      <c r="B352" s="8" cm="1">
        <f t="array" ref="B352">FAM(A352)</f>
        <v>1.7575195531863871E-13</v>
      </c>
      <c r="C352" s="14">
        <v>-2.4614391680747714E-14</v>
      </c>
      <c r="D352" s="14">
        <v>1.7577839989251193E-13</v>
      </c>
      <c r="F352" s="18">
        <f t="shared" si="11"/>
        <v>6960</v>
      </c>
      <c r="G352" s="14">
        <v>3.2740927932711591E-26</v>
      </c>
    </row>
    <row r="353" spans="1:7" x14ac:dyDescent="0.55000000000000004">
      <c r="A353" s="8">
        <f t="shared" si="10"/>
        <v>1.7449999999999986E-2</v>
      </c>
      <c r="B353" s="8" cm="1">
        <f t="array" ref="B353">FAM(A353)</f>
        <v>-0.22108173768883649</v>
      </c>
      <c r="C353" s="36">
        <v>-2.8964798327869191E-15</v>
      </c>
      <c r="D353" s="36">
        <v>-0.22108173768883652</v>
      </c>
      <c r="F353" s="38">
        <f t="shared" si="11"/>
        <v>6980</v>
      </c>
      <c r="G353" s="36">
        <v>3.1385813821264307E-26</v>
      </c>
    </row>
    <row r="354" spans="1:7" x14ac:dyDescent="0.55000000000000004">
      <c r="A354" s="4">
        <f t="shared" si="10"/>
        <v>1.7499999999999988E-2</v>
      </c>
      <c r="B354" s="4" cm="1">
        <f t="array" ref="B354">FAM(A354)</f>
        <v>-0.30000000000000726</v>
      </c>
      <c r="C354" s="13">
        <v>-2.4072443278957877E-14</v>
      </c>
      <c r="D354" s="13">
        <v>-0.30000000000000726</v>
      </c>
      <c r="F354" s="17">
        <f t="shared" si="11"/>
        <v>7000</v>
      </c>
      <c r="G354" s="13">
        <v>3.0766191032050339E-26</v>
      </c>
    </row>
    <row r="355" spans="1:7" x14ac:dyDescent="0.55000000000000004">
      <c r="A355" s="8">
        <f t="shared" si="10"/>
        <v>1.7549999999999989E-2</v>
      </c>
      <c r="B355" s="8" cm="1">
        <f t="array" ref="B355">FAM(A355)</f>
        <v>-0.20332189682768215</v>
      </c>
      <c r="C355" s="14">
        <v>-3.2286980637354403E-15</v>
      </c>
      <c r="D355" s="14">
        <v>-0.20332189682768212</v>
      </c>
      <c r="F355" s="18">
        <f t="shared" si="11"/>
        <v>7020</v>
      </c>
      <c r="G355" s="14">
        <v>2.6316236369106988E-26</v>
      </c>
    </row>
    <row r="356" spans="1:7" x14ac:dyDescent="0.55000000000000004">
      <c r="A356" s="8">
        <f t="shared" si="10"/>
        <v>1.7599999999999991E-2</v>
      </c>
      <c r="B356" s="8" cm="1">
        <f t="array" ref="B356">FAM(A356)</f>
        <v>-1.2034656960790285E-13</v>
      </c>
      <c r="C356" s="14">
        <v>-2.3464288147976482E-14</v>
      </c>
      <c r="D356" s="14">
        <v>-1.203616158230596E-13</v>
      </c>
      <c r="F356" s="18">
        <f t="shared" si="11"/>
        <v>7040</v>
      </c>
      <c r="G356" s="89">
        <v>2.6510876467536079E-26</v>
      </c>
    </row>
    <row r="357" spans="1:7" x14ac:dyDescent="0.55000000000000004">
      <c r="A357" s="8">
        <f t="shared" si="10"/>
        <v>1.7649999999999992E-2</v>
      </c>
      <c r="B357" s="8" cm="1">
        <f t="array" ref="B357">FAM(A357)</f>
        <v>0.18625994769851056</v>
      </c>
      <c r="C357" s="14">
        <v>-3.1918860112960178E-15</v>
      </c>
      <c r="D357" s="14">
        <v>0.18625994769851059</v>
      </c>
      <c r="F357" s="18">
        <f t="shared" si="11"/>
        <v>7060</v>
      </c>
      <c r="G357" s="14">
        <v>2.9825211446464102E-26</v>
      </c>
    </row>
    <row r="358" spans="1:7" x14ac:dyDescent="0.55000000000000004">
      <c r="A358" s="8">
        <f t="shared" si="10"/>
        <v>1.7699999999999994E-2</v>
      </c>
      <c r="B358" s="8" cm="1">
        <f t="array" ref="B358">FAM(A358)</f>
        <v>0.25183908230413904</v>
      </c>
      <c r="C358" s="14">
        <v>-2.3075163845547564E-14</v>
      </c>
      <c r="D358" s="14">
        <v>0.25183908230413893</v>
      </c>
      <c r="F358" s="18">
        <f t="shared" si="11"/>
        <v>7080</v>
      </c>
      <c r="G358" s="14">
        <v>2.8688142454316068E-26</v>
      </c>
    </row>
    <row r="359" spans="1:7" x14ac:dyDescent="0.55000000000000004">
      <c r="A359" s="8">
        <f t="shared" si="10"/>
        <v>1.7749999999999995E-2</v>
      </c>
      <c r="B359" s="8" cm="1">
        <f t="array" ref="B359">FAM(A359)</f>
        <v>0.17017156348171425</v>
      </c>
      <c r="C359" s="14">
        <v>-3.1120250097195413E-15</v>
      </c>
      <c r="D359" s="14">
        <v>0.17017156348171422</v>
      </c>
      <c r="F359" s="18">
        <f t="shared" si="11"/>
        <v>7100</v>
      </c>
      <c r="G359" s="14">
        <v>2.7597100647917635E-26</v>
      </c>
    </row>
    <row r="360" spans="1:7" x14ac:dyDescent="0.55000000000000004">
      <c r="A360" s="8">
        <f t="shared" si="10"/>
        <v>1.7799999999999996E-2</v>
      </c>
      <c r="B360" s="8" cm="1">
        <f t="array" ref="B360">FAM(A360)</f>
        <v>7.683762465963008E-14</v>
      </c>
      <c r="C360" s="14">
        <v>-2.2390431203224994E-14</v>
      </c>
      <c r="D360" s="14">
        <v>7.6859905922615287E-14</v>
      </c>
      <c r="F360" s="18">
        <f t="shared" si="11"/>
        <v>7120</v>
      </c>
      <c r="G360" s="14">
        <v>2.8130816578768361E-26</v>
      </c>
    </row>
    <row r="361" spans="1:7" x14ac:dyDescent="0.55000000000000004">
      <c r="A361" s="8">
        <f t="shared" si="10"/>
        <v>1.7849999999999998E-2</v>
      </c>
      <c r="B361" s="8" cm="1">
        <f t="array" ref="B361">FAM(A361)</f>
        <v>-0.15532363367423405</v>
      </c>
      <c r="C361" s="14">
        <v>-3.5787563960462446E-15</v>
      </c>
      <c r="D361" s="14">
        <v>-0.1553236336742341</v>
      </c>
      <c r="F361" s="18">
        <f t="shared" si="11"/>
        <v>7140</v>
      </c>
      <c r="G361" s="14">
        <v>2.7508103087402633E-26</v>
      </c>
    </row>
    <row r="362" spans="1:7" x14ac:dyDescent="0.55000000000000004">
      <c r="A362" s="8">
        <f t="shared" si="10"/>
        <v>1.7899999999999999E-2</v>
      </c>
      <c r="B362" s="8" cm="1">
        <f t="array" ref="B362">FAM(A362)</f>
        <v>-0.20993263295393447</v>
      </c>
      <c r="C362" s="14">
        <v>-2.2433063226266616E-14</v>
      </c>
      <c r="D362" s="14">
        <v>-0.20993263295393461</v>
      </c>
      <c r="F362" s="18">
        <f t="shared" si="11"/>
        <v>7160</v>
      </c>
      <c r="G362" s="14">
        <v>2.6940571472185169E-26</v>
      </c>
    </row>
    <row r="363" spans="1:7" x14ac:dyDescent="0.55000000000000004">
      <c r="A363" s="8">
        <f t="shared" si="10"/>
        <v>1.7950000000000001E-2</v>
      </c>
      <c r="B363" s="8" cm="1">
        <f t="array" ref="B363">FAM(A363)</f>
        <v>-0.14197000312453403</v>
      </c>
      <c r="C363" s="14">
        <v>-3.5344103143262881E-15</v>
      </c>
      <c r="D363" s="14">
        <v>-0.14197000312453392</v>
      </c>
      <c r="F363" s="18">
        <f t="shared" si="11"/>
        <v>7180</v>
      </c>
      <c r="G363" s="14">
        <v>2.9200379519024213E-26</v>
      </c>
    </row>
    <row r="364" spans="1:7" x14ac:dyDescent="0.55000000000000004">
      <c r="A364" s="8">
        <f t="shared" si="10"/>
        <v>1.8000000000000002E-2</v>
      </c>
      <c r="B364" s="8" cm="1">
        <f t="array" ref="B364">FAM(A364)</f>
        <v>-4.4461270786090002E-14</v>
      </c>
      <c r="C364" s="14">
        <v>-2.2059395173468403E-14</v>
      </c>
      <c r="D364" s="14">
        <v>-4.4470078382442857E-14</v>
      </c>
      <c r="F364" s="18">
        <f t="shared" si="11"/>
        <v>7200</v>
      </c>
      <c r="G364" s="14">
        <v>2.8586989503637238E-26</v>
      </c>
    </row>
    <row r="365" spans="1:7" x14ac:dyDescent="0.55000000000000004">
      <c r="A365" s="8">
        <f t="shared" si="10"/>
        <v>1.8050000000000004E-2</v>
      </c>
      <c r="B365" s="8" cm="1">
        <f t="array" ref="B365">FAM(A365)</f>
        <v>0.13034739106167539</v>
      </c>
      <c r="C365" s="14">
        <v>-3.4901745684766118E-15</v>
      </c>
      <c r="D365" s="14">
        <v>0.1303473910616755</v>
      </c>
      <c r="F365" s="18">
        <f t="shared" si="11"/>
        <v>7220</v>
      </c>
      <c r="G365" s="14">
        <v>2.5964467442389273E-26</v>
      </c>
    </row>
    <row r="366" spans="1:7" x14ac:dyDescent="0.55000000000000004">
      <c r="A366" s="8">
        <f t="shared" si="10"/>
        <v>1.8100000000000005E-2</v>
      </c>
      <c r="B366" s="8" cm="1">
        <f t="array" ref="B366">FAM(A366)</f>
        <v>0.17713528163661368</v>
      </c>
      <c r="C366" s="14">
        <v>-2.1520351951447254E-14</v>
      </c>
      <c r="D366" s="14">
        <v>0.17713528163661379</v>
      </c>
      <c r="F366" s="18">
        <f t="shared" si="11"/>
        <v>7240</v>
      </c>
      <c r="G366" s="14">
        <v>2.7689283597030916E-26</v>
      </c>
    </row>
    <row r="367" spans="1:7" x14ac:dyDescent="0.55000000000000004">
      <c r="A367" s="8">
        <f t="shared" si="10"/>
        <v>1.8150000000000006E-2</v>
      </c>
      <c r="B367" s="8" cm="1">
        <f t="array" ref="B367">FAM(A367)</f>
        <v>0.12067155479162139</v>
      </c>
      <c r="C367" s="14">
        <v>-3.9753588880181197E-15</v>
      </c>
      <c r="D367" s="14">
        <v>0.12067155479162138</v>
      </c>
      <c r="F367" s="18">
        <f t="shared" si="11"/>
        <v>7260</v>
      </c>
      <c r="G367" s="14">
        <v>2.6574969451492512E-26</v>
      </c>
    </row>
    <row r="368" spans="1:7" x14ac:dyDescent="0.55000000000000004">
      <c r="A368" s="8">
        <f t="shared" si="10"/>
        <v>1.8200000000000008E-2</v>
      </c>
      <c r="B368" s="8" cm="1">
        <f t="array" ref="B368">FAM(A368)</f>
        <v>3.0549890871238905E-14</v>
      </c>
      <c r="C368" s="14">
        <v>-2.1052364098662051E-14</v>
      </c>
      <c r="D368" s="14">
        <v>3.0563107807006145E-14</v>
      </c>
      <c r="F368" s="18">
        <f t="shared" si="11"/>
        <v>7280</v>
      </c>
      <c r="G368" s="14">
        <v>2.7058872090300159E-26</v>
      </c>
    </row>
    <row r="369" spans="1:7" x14ac:dyDescent="0.55000000000000004">
      <c r="A369" s="8">
        <f t="shared" si="10"/>
        <v>1.8250000000000009E-2</v>
      </c>
      <c r="B369" s="8" cm="1">
        <f t="array" ref="B369">FAM(A369)</f>
        <v>-0.11313375896270943</v>
      </c>
      <c r="C369" s="14">
        <v>-3.8864667255373705E-15</v>
      </c>
      <c r="D369" s="14">
        <v>-0.11313375896270943</v>
      </c>
      <c r="F369" s="18">
        <f t="shared" si="11"/>
        <v>7300</v>
      </c>
      <c r="G369" s="14">
        <v>2.8995371432303516E-26</v>
      </c>
    </row>
    <row r="370" spans="1:7" x14ac:dyDescent="0.55000000000000004">
      <c r="A370" s="8">
        <f t="shared" si="10"/>
        <v>1.8300000000000011E-2</v>
      </c>
      <c r="B370" s="8" cm="1">
        <f t="array" ref="B370">FAM(A370)</f>
        <v>-0.15587307889082486</v>
      </c>
      <c r="C370" s="14">
        <v>-2.0686681149237217E-14</v>
      </c>
      <c r="D370" s="14">
        <v>-0.15587307889082491</v>
      </c>
      <c r="F370" s="18">
        <f t="shared" si="11"/>
        <v>7320</v>
      </c>
      <c r="G370" s="14">
        <v>2.6128799421008109E-26</v>
      </c>
    </row>
    <row r="371" spans="1:7" x14ac:dyDescent="0.55000000000000004">
      <c r="A371" s="8">
        <f t="shared" si="10"/>
        <v>1.8350000000000012E-2</v>
      </c>
      <c r="B371" s="8" cm="1">
        <f t="array" ref="B371">FAM(A371)</f>
        <v>-0.1078976065923198</v>
      </c>
      <c r="C371" s="14">
        <v>-3.3516205835052385E-15</v>
      </c>
      <c r="D371" s="14">
        <v>-0.10789760659231976</v>
      </c>
      <c r="F371" s="18">
        <f t="shared" si="11"/>
        <v>7340</v>
      </c>
      <c r="G371" s="14">
        <v>2.7016732434870205E-26</v>
      </c>
    </row>
    <row r="372" spans="1:7" x14ac:dyDescent="0.55000000000000004">
      <c r="A372" s="8">
        <f t="shared" si="10"/>
        <v>1.8400000000000014E-2</v>
      </c>
      <c r="B372" s="8" cm="1">
        <f t="array" ref="B372">FAM(A372)</f>
        <v>-1.2362066235041316E-14</v>
      </c>
      <c r="C372" s="14">
        <v>-2.0640782530164216E-14</v>
      </c>
      <c r="D372" s="14">
        <v>-1.2361083848630483E-14</v>
      </c>
      <c r="F372" s="18">
        <f t="shared" si="11"/>
        <v>7360</v>
      </c>
      <c r="G372" s="14">
        <v>2.7372406493756837E-26</v>
      </c>
    </row>
    <row r="373" spans="1:7" x14ac:dyDescent="0.55000000000000004">
      <c r="A373" s="8">
        <f t="shared" si="10"/>
        <v>1.8450000000000015E-2</v>
      </c>
      <c r="B373" s="8" cm="1">
        <f t="array" ref="B373">FAM(A373)</f>
        <v>0.10509628242995035</v>
      </c>
      <c r="C373" s="14">
        <v>-4.3365383822048027E-15</v>
      </c>
      <c r="D373" s="14">
        <v>0.10509628242995038</v>
      </c>
      <c r="F373" s="18">
        <f t="shared" si="11"/>
        <v>7380</v>
      </c>
      <c r="G373" s="14">
        <v>2.6278363627839873E-26</v>
      </c>
    </row>
    <row r="374" spans="1:7" x14ac:dyDescent="0.55000000000000004">
      <c r="A374" s="8">
        <f t="shared" si="10"/>
        <v>1.8500000000000016E-2</v>
      </c>
      <c r="B374" s="8" cm="1">
        <f t="array" ref="B374">FAM(A374)</f>
        <v>0.14798529786597978</v>
      </c>
      <c r="C374" s="14">
        <v>-2.0433657161507477E-14</v>
      </c>
      <c r="D374" s="14">
        <v>0.14798529786597975</v>
      </c>
      <c r="F374" s="18">
        <f t="shared" si="11"/>
        <v>7400</v>
      </c>
      <c r="G374" s="14">
        <v>2.7307890670952657E-26</v>
      </c>
    </row>
    <row r="375" spans="1:7" x14ac:dyDescent="0.55000000000000004">
      <c r="A375" s="8">
        <f t="shared" si="10"/>
        <v>1.8550000000000018E-2</v>
      </c>
      <c r="B375" s="8" cm="1">
        <f t="array" ref="B375">FAM(A375)</f>
        <v>0.10483025282996457</v>
      </c>
      <c r="C375" s="14">
        <v>-3.9381376352585272E-15</v>
      </c>
      <c r="D375" s="14">
        <v>0.10483025282996453</v>
      </c>
      <c r="F375" s="18">
        <f t="shared" si="11"/>
        <v>7420</v>
      </c>
      <c r="G375" s="14">
        <v>2.8861101818485006E-26</v>
      </c>
    </row>
    <row r="376" spans="1:7" x14ac:dyDescent="0.55000000000000004">
      <c r="A376" s="8">
        <f t="shared" si="10"/>
        <v>1.8600000000000019E-2</v>
      </c>
      <c r="B376" s="8" cm="1">
        <f t="array" ref="B376">FAM(A376)</f>
        <v>-3.0762514333804709E-15</v>
      </c>
      <c r="C376" s="14">
        <v>-1.9848278176614092E-14</v>
      </c>
      <c r="D376" s="14">
        <v>-3.0752080349611313E-15</v>
      </c>
      <c r="F376" s="18">
        <f t="shared" si="11"/>
        <v>7440</v>
      </c>
      <c r="G376" s="14">
        <v>2.5390649644834308E-26</v>
      </c>
    </row>
    <row r="377" spans="1:7" x14ac:dyDescent="0.55000000000000004">
      <c r="A377" s="8">
        <f t="shared" si="10"/>
        <v>1.8650000000000021E-2</v>
      </c>
      <c r="B377" s="8" cm="1">
        <f t="array" ref="B377">FAM(A377)</f>
        <v>-0.10716545919465358</v>
      </c>
      <c r="C377" s="14">
        <v>-4.4634233322721526E-15</v>
      </c>
      <c r="D377" s="14">
        <v>-0.10716545919465352</v>
      </c>
      <c r="F377" s="18">
        <f t="shared" si="11"/>
        <v>7460</v>
      </c>
      <c r="G377" s="14">
        <v>2.5921601538319241E-26</v>
      </c>
    </row>
    <row r="378" spans="1:7" x14ac:dyDescent="0.55000000000000004">
      <c r="A378" s="8">
        <f t="shared" si="10"/>
        <v>1.8700000000000022E-2</v>
      </c>
      <c r="B378" s="8" cm="1">
        <f t="array" ref="B378">FAM(A378)</f>
        <v>-0.15460092883006363</v>
      </c>
      <c r="C378" s="14">
        <v>-1.9696712365984702E-14</v>
      </c>
      <c r="D378" s="14">
        <v>-0.15460092883006357</v>
      </c>
      <c r="F378" s="18">
        <f t="shared" si="11"/>
        <v>7480</v>
      </c>
      <c r="G378" s="14">
        <v>2.6208643762395185E-26</v>
      </c>
    </row>
    <row r="379" spans="1:7" x14ac:dyDescent="0.55000000000000004">
      <c r="A379" s="8">
        <f t="shared" si="10"/>
        <v>1.8750000000000024E-2</v>
      </c>
      <c r="B379" s="8" cm="1">
        <f t="array" ref="B379">FAM(A379)</f>
        <v>-0.11213203435595989</v>
      </c>
      <c r="C379" s="14">
        <v>-4.2764124672903085E-15</v>
      </c>
      <c r="D379" s="14">
        <v>-0.11213203435595977</v>
      </c>
      <c r="F379" s="18">
        <f t="shared" si="11"/>
        <v>7500</v>
      </c>
      <c r="G379" s="14">
        <v>2.3491842387952057E-26</v>
      </c>
    </row>
    <row r="380" spans="1:7" x14ac:dyDescent="0.55000000000000004">
      <c r="A380" s="8">
        <f t="shared" si="10"/>
        <v>1.8800000000000025E-2</v>
      </c>
      <c r="B380" s="8" cm="1">
        <f t="array" ref="B380">FAM(A380)</f>
        <v>1.0895967254280918E-14</v>
      </c>
      <c r="C380" s="14">
        <v>-1.8865595545112109E-14</v>
      </c>
      <c r="D380" s="14">
        <v>1.0908130669111741E-14</v>
      </c>
      <c r="F380" s="18">
        <f t="shared" si="11"/>
        <v>7520</v>
      </c>
      <c r="G380" s="14">
        <v>2.2376329691690819E-26</v>
      </c>
    </row>
    <row r="381" spans="1:7" x14ac:dyDescent="0.55000000000000004">
      <c r="A381" s="8">
        <f t="shared" si="10"/>
        <v>1.8850000000000026E-2</v>
      </c>
      <c r="B381" s="8" cm="1">
        <f t="array" ref="B381">FAM(A381)</f>
        <v>0.11972356310052283</v>
      </c>
      <c r="C381" s="14">
        <v>-3.8521651887181891E-15</v>
      </c>
      <c r="D381" s="14">
        <v>0.119723563100523</v>
      </c>
      <c r="F381" s="38">
        <f t="shared" si="11"/>
        <v>7540</v>
      </c>
      <c r="G381" s="14">
        <v>2.6246591768904606E-26</v>
      </c>
    </row>
    <row r="382" spans="1:7" x14ac:dyDescent="0.55000000000000004">
      <c r="A382" s="8">
        <f t="shared" si="10"/>
        <v>1.8900000000000028E-2</v>
      </c>
      <c r="B382" s="8" cm="1">
        <f t="array" ref="B382">FAM(A382)</f>
        <v>0.17605775190452549</v>
      </c>
      <c r="C382" s="14">
        <v>-1.8746401847343661E-14</v>
      </c>
      <c r="D382" s="14">
        <v>0.17605775190452552</v>
      </c>
      <c r="F382" s="18">
        <f t="shared" si="11"/>
        <v>7560</v>
      </c>
      <c r="G382" s="14">
        <v>2.7005451062317729E-26</v>
      </c>
    </row>
    <row r="383" spans="1:7" x14ac:dyDescent="0.55000000000000004">
      <c r="A383" s="8">
        <f t="shared" si="10"/>
        <v>1.8950000000000029E-2</v>
      </c>
      <c r="B383" s="8" cm="1">
        <f t="array" ref="B383">FAM(A383)</f>
        <v>0.12989689954280745</v>
      </c>
      <c r="C383" s="14">
        <v>-4.557314913635687E-15</v>
      </c>
      <c r="D383" s="14">
        <v>0.1298968995428075</v>
      </c>
      <c r="F383" s="18">
        <f t="shared" si="11"/>
        <v>7580</v>
      </c>
      <c r="G383" s="14">
        <v>2.8940642848472543E-26</v>
      </c>
    </row>
    <row r="384" spans="1:7" x14ac:dyDescent="0.55000000000000004">
      <c r="A384" s="8">
        <f t="shared" si="10"/>
        <v>1.9000000000000031E-2</v>
      </c>
      <c r="B384" s="8" cm="1">
        <f t="array" ref="B384">FAM(A384)</f>
        <v>-3.2593693193561507E-14</v>
      </c>
      <c r="C384" s="14">
        <v>-1.9214286042384981E-14</v>
      </c>
      <c r="D384" s="14">
        <v>-3.2605381643132287E-14</v>
      </c>
      <c r="F384" s="18">
        <f t="shared" si="11"/>
        <v>7600</v>
      </c>
      <c r="G384" s="14">
        <v>2.4077883917307119E-26</v>
      </c>
    </row>
    <row r="385" spans="1:7" x14ac:dyDescent="0.55000000000000004">
      <c r="A385" s="8">
        <f t="shared" si="10"/>
        <v>1.9050000000000032E-2</v>
      </c>
      <c r="B385" s="8" cm="1">
        <f t="array" ref="B385">FAM(A385)</f>
        <v>-0.14257254534713082</v>
      </c>
      <c r="C385" s="14">
        <v>-4.3178209884969883E-15</v>
      </c>
      <c r="D385" s="14">
        <v>-0.14257254534713082</v>
      </c>
      <c r="F385" s="18">
        <f t="shared" si="11"/>
        <v>7620</v>
      </c>
      <c r="G385" s="14">
        <v>2.6108842214599384E-26</v>
      </c>
    </row>
    <row r="386" spans="1:7" x14ac:dyDescent="0.55000000000000004">
      <c r="A386" s="8">
        <f t="shared" si="10"/>
        <v>1.9100000000000034E-2</v>
      </c>
      <c r="B386" s="8" cm="1">
        <f t="array" ref="B386">FAM(A386)</f>
        <v>-0.21186923051099948</v>
      </c>
      <c r="C386" s="14">
        <v>-1.7946652914037176E-14</v>
      </c>
      <c r="D386" s="14">
        <v>-0.21186923051099965</v>
      </c>
      <c r="F386" s="18">
        <f t="shared" si="11"/>
        <v>7640</v>
      </c>
      <c r="G386" s="14">
        <v>2.5328661280429024E-26</v>
      </c>
    </row>
    <row r="387" spans="1:7" x14ac:dyDescent="0.55000000000000004">
      <c r="A387" s="8">
        <f t="shared" si="10"/>
        <v>1.9150000000000035E-2</v>
      </c>
      <c r="B387" s="8" cm="1">
        <f t="array" ref="B387">FAM(A387)</f>
        <v>-0.15763558402524247</v>
      </c>
      <c r="C387" s="14">
        <v>-4.701437193743981E-15</v>
      </c>
      <c r="D387" s="14">
        <v>-0.15763558402524244</v>
      </c>
      <c r="F387" s="18">
        <f t="shared" si="11"/>
        <v>7660</v>
      </c>
      <c r="G387" s="14">
        <v>2.4499598494753146E-26</v>
      </c>
    </row>
    <row r="388" spans="1:7" x14ac:dyDescent="0.55000000000000004">
      <c r="A388" s="8">
        <f t="shared" si="10"/>
        <v>1.9200000000000036E-2</v>
      </c>
      <c r="B388" s="8" cm="1">
        <f t="array" ref="B388">FAM(A388)</f>
        <v>6.3969275352045577E-14</v>
      </c>
      <c r="C388" s="14">
        <v>-1.8290449187292563E-14</v>
      </c>
      <c r="D388" s="14">
        <v>6.3991403721597065E-14</v>
      </c>
      <c r="F388" s="18">
        <f t="shared" si="11"/>
        <v>7680</v>
      </c>
      <c r="G388" s="14">
        <v>2.6294052159288342E-26</v>
      </c>
    </row>
    <row r="389" spans="1:7" x14ac:dyDescent="0.55000000000000004">
      <c r="A389" s="8">
        <f t="shared" si="10"/>
        <v>1.9250000000000038E-2</v>
      </c>
      <c r="B389" s="8" cm="1">
        <f t="array" ref="B389">FAM(A389)</f>
        <v>0.1749371578377717</v>
      </c>
      <c r="C389" s="14">
        <v>-4.6257006714123333E-15</v>
      </c>
      <c r="D389" s="14">
        <v>0.17493715783777183</v>
      </c>
      <c r="F389" s="18">
        <f t="shared" si="11"/>
        <v>7700</v>
      </c>
      <c r="G389" s="14">
        <v>2.6670314354691314E-26</v>
      </c>
    </row>
    <row r="390" spans="1:7" x14ac:dyDescent="0.55000000000000004">
      <c r="A390" s="8">
        <f t="shared" ref="A390:A453" si="12">A389+0.00005</f>
        <v>1.9300000000000039E-2</v>
      </c>
      <c r="B390" s="8" cm="1">
        <f t="array" ref="B390">FAM(A390)</f>
        <v>0.26074149313183315</v>
      </c>
      <c r="C390" s="14">
        <v>-1.7782391953528576E-14</v>
      </c>
      <c r="D390" s="14">
        <v>0.26074149313183315</v>
      </c>
      <c r="F390" s="18">
        <f t="shared" ref="F390:F453" si="13">20000/1000+F389</f>
        <v>7720</v>
      </c>
      <c r="G390" s="14">
        <v>2.4107413416911708E-26</v>
      </c>
    </row>
    <row r="391" spans="1:7" x14ac:dyDescent="0.55000000000000004">
      <c r="A391" s="8">
        <f t="shared" si="12"/>
        <v>1.9350000000000041E-2</v>
      </c>
      <c r="B391" s="8" cm="1">
        <f t="array" ref="B391">FAM(A391)</f>
        <v>0.19429646532846653</v>
      </c>
      <c r="C391" s="14">
        <v>-4.7842821650030499E-15</v>
      </c>
      <c r="D391" s="14">
        <v>0.19429646532846656</v>
      </c>
      <c r="F391" s="18">
        <f t="shared" si="13"/>
        <v>7740</v>
      </c>
      <c r="G391" s="14">
        <v>2.4047566219362284E-26</v>
      </c>
    </row>
    <row r="392" spans="1:7" x14ac:dyDescent="0.55000000000000004">
      <c r="A392" s="8">
        <f t="shared" si="12"/>
        <v>1.9400000000000042E-2</v>
      </c>
      <c r="B392" s="8" cm="1">
        <f t="array" ref="B392">FAM(A392)</f>
        <v>-1.0865577759633597E-13</v>
      </c>
      <c r="C392" s="14">
        <v>-1.6377852007795016E-14</v>
      </c>
      <c r="D392" s="14">
        <v>-1.0867804832454767E-13</v>
      </c>
      <c r="F392" s="18">
        <f t="shared" si="13"/>
        <v>7760</v>
      </c>
      <c r="G392" s="14">
        <v>2.4780241205124603E-26</v>
      </c>
    </row>
    <row r="393" spans="1:7" x14ac:dyDescent="0.55000000000000004">
      <c r="A393" s="8">
        <f t="shared" si="12"/>
        <v>1.9450000000000044E-2</v>
      </c>
      <c r="B393" s="8" cm="1">
        <f t="array" ref="B393">FAM(A393)</f>
        <v>-0.2155032493748022</v>
      </c>
      <c r="C393" s="14">
        <v>-3.0706065791729671E-15</v>
      </c>
      <c r="D393" s="14">
        <v>-0.2155032493748022</v>
      </c>
      <c r="F393" s="18">
        <f t="shared" si="13"/>
        <v>7780</v>
      </c>
      <c r="G393" s="14">
        <v>2.4106283556093065E-26</v>
      </c>
    </row>
    <row r="394" spans="1:7" x14ac:dyDescent="0.55000000000000004">
      <c r="A394" s="8">
        <f t="shared" si="12"/>
        <v>1.9500000000000045E-2</v>
      </c>
      <c r="B394" s="8" cm="1">
        <f t="array" ref="B394">FAM(A394)</f>
        <v>-0.32063955066652383</v>
      </c>
      <c r="C394" s="14">
        <v>-1.8152512200412895E-14</v>
      </c>
      <c r="D394" s="14">
        <v>-0.32063955066652383</v>
      </c>
      <c r="F394" s="18">
        <f t="shared" si="13"/>
        <v>7800</v>
      </c>
      <c r="G394" s="14">
        <v>2.6602466861780195E-26</v>
      </c>
    </row>
    <row r="395" spans="1:7" x14ac:dyDescent="0.55000000000000004">
      <c r="A395" s="8">
        <f t="shared" si="12"/>
        <v>1.9550000000000047E-2</v>
      </c>
      <c r="B395" s="8" cm="1">
        <f t="array" ref="B395">FAM(A395)</f>
        <v>-0.23832073794475053</v>
      </c>
      <c r="C395" s="14">
        <v>-5.0425845918615784E-15</v>
      </c>
      <c r="D395" s="14">
        <v>-0.23832073794475056</v>
      </c>
      <c r="F395" s="18">
        <f t="shared" si="13"/>
        <v>7820</v>
      </c>
      <c r="G395" s="14">
        <v>2.4083902496914365E-26</v>
      </c>
    </row>
    <row r="396" spans="1:7" x14ac:dyDescent="0.55000000000000004">
      <c r="A396" s="8">
        <f t="shared" si="12"/>
        <v>1.9600000000000048E-2</v>
      </c>
      <c r="B396" s="8" cm="1">
        <f t="array" ref="B396">FAM(A396)</f>
        <v>1.4914866772120241E-13</v>
      </c>
      <c r="C396" s="14">
        <v>-1.6875984233514235E-14</v>
      </c>
      <c r="D396" s="14">
        <v>1.4917712603248855E-13</v>
      </c>
      <c r="F396" s="18">
        <f t="shared" si="13"/>
        <v>7840</v>
      </c>
      <c r="G396" s="14">
        <v>2.3737324032436824E-26</v>
      </c>
    </row>
    <row r="397" spans="1:7" x14ac:dyDescent="0.55000000000000004">
      <c r="A397" s="8">
        <f t="shared" si="12"/>
        <v>1.9650000000000049E-2</v>
      </c>
      <c r="B397" s="8" cm="1">
        <f t="array" ref="B397">FAM(A397)</f>
        <v>0.2624889926702032</v>
      </c>
      <c r="C397" s="14">
        <v>-4.4491799573025464E-15</v>
      </c>
      <c r="D397" s="14">
        <v>0.26248899267020326</v>
      </c>
      <c r="F397" s="18">
        <f t="shared" si="13"/>
        <v>7860</v>
      </c>
      <c r="G397" s="14">
        <v>2.4289589422613213E-26</v>
      </c>
    </row>
    <row r="398" spans="1:7" x14ac:dyDescent="0.55000000000000004">
      <c r="A398" s="8">
        <f t="shared" si="12"/>
        <v>1.9700000000000051E-2</v>
      </c>
      <c r="B398" s="8" cm="1">
        <f t="array" ref="B398">FAM(A398)</f>
        <v>0.38889882654592989</v>
      </c>
      <c r="C398" s="14">
        <v>-1.8557451196315108E-14</v>
      </c>
      <c r="D398" s="14">
        <v>0.38889882654592989</v>
      </c>
      <c r="F398" s="18">
        <f t="shared" si="13"/>
        <v>7880</v>
      </c>
      <c r="G398" s="14">
        <v>2.4187546167688019E-26</v>
      </c>
    </row>
    <row r="399" spans="1:7" x14ac:dyDescent="0.55000000000000004">
      <c r="A399" s="8">
        <f t="shared" si="12"/>
        <v>1.9750000000000052E-2</v>
      </c>
      <c r="B399" s="8" cm="1">
        <f t="array" ref="B399">FAM(A399)</f>
        <v>0.28772861394000893</v>
      </c>
      <c r="C399" s="14">
        <v>-5.3217720365596184E-15</v>
      </c>
      <c r="D399" s="14">
        <v>0.28772861394000898</v>
      </c>
      <c r="F399" s="18">
        <f t="shared" si="13"/>
        <v>7900</v>
      </c>
      <c r="G399" s="14">
        <v>2.4729964992750359E-26</v>
      </c>
    </row>
    <row r="400" spans="1:7" x14ac:dyDescent="0.55000000000000004">
      <c r="A400" s="8">
        <f t="shared" si="12"/>
        <v>1.9800000000000054E-2</v>
      </c>
      <c r="B400" s="8" cm="1">
        <f t="array" ref="B400">FAM(A400)</f>
        <v>-2.2294514147702458E-13</v>
      </c>
      <c r="C400" s="14">
        <v>-1.6042698644559481E-14</v>
      </c>
      <c r="D400" s="14">
        <v>-2.2297362218687979E-13</v>
      </c>
      <c r="F400" s="18">
        <f t="shared" si="13"/>
        <v>7920</v>
      </c>
      <c r="G400" s="14">
        <v>2.5015662206782782E-26</v>
      </c>
    </row>
    <row r="401" spans="1:7" x14ac:dyDescent="0.55000000000000004">
      <c r="A401" s="8">
        <f t="shared" si="12"/>
        <v>1.9850000000000055E-2</v>
      </c>
      <c r="B401" s="8" cm="1">
        <f t="array" ref="B401">FAM(A401)</f>
        <v>-0.31374474564850219</v>
      </c>
      <c r="C401" s="14">
        <v>-5.0710559180278201E-15</v>
      </c>
      <c r="D401" s="14">
        <v>-0.31374474564850219</v>
      </c>
      <c r="F401" s="18">
        <f t="shared" si="13"/>
        <v>7940</v>
      </c>
      <c r="G401" s="14">
        <v>2.3634857825179047E-26</v>
      </c>
    </row>
    <row r="402" spans="1:7" x14ac:dyDescent="0.55000000000000004">
      <c r="A402" s="8">
        <f t="shared" si="12"/>
        <v>1.9900000000000057E-2</v>
      </c>
      <c r="B402" s="8" cm="1">
        <f t="array" ref="B402">FAM(A402)</f>
        <v>-0.46237524938129015</v>
      </c>
      <c r="C402" s="14">
        <v>-1.6896182048643456E-14</v>
      </c>
      <c r="D402" s="14">
        <v>-0.46237524938129021</v>
      </c>
      <c r="F402" s="18">
        <f t="shared" si="13"/>
        <v>7960</v>
      </c>
      <c r="G402" s="14">
        <v>2.2084491316187308E-26</v>
      </c>
    </row>
    <row r="403" spans="1:7" x14ac:dyDescent="0.55000000000000004">
      <c r="A403" s="8">
        <f t="shared" si="12"/>
        <v>1.9950000000000058E-2</v>
      </c>
      <c r="B403" s="8" cm="1">
        <f t="array" ref="B403">FAM(A403)</f>
        <v>-0.34023131801312573</v>
      </c>
      <c r="C403" s="15">
        <v>-4.96574805053518E-15</v>
      </c>
      <c r="D403" s="15">
        <v>-0.34023131801312578</v>
      </c>
      <c r="F403" s="38">
        <f t="shared" si="13"/>
        <v>7980</v>
      </c>
      <c r="G403" s="36">
        <v>2.5166670840479047E-26</v>
      </c>
    </row>
    <row r="404" spans="1:7" x14ac:dyDescent="0.55000000000000004">
      <c r="A404" s="4">
        <f t="shared" si="12"/>
        <v>2.0000000000000059E-2</v>
      </c>
      <c r="B404" s="4" cm="1">
        <f t="array" ref="B404">FAM(A404)</f>
        <v>3.1362099709631751E-13</v>
      </c>
      <c r="C404" s="13">
        <v>-1.6539573493891878E-14</v>
      </c>
      <c r="D404" s="13">
        <v>3.1365051508386921E-13</v>
      </c>
      <c r="F404" s="17">
        <f t="shared" si="13"/>
        <v>8000</v>
      </c>
      <c r="G404" s="13">
        <v>2.6968123488586755E-26</v>
      </c>
    </row>
    <row r="405" spans="1:7" x14ac:dyDescent="0.55000000000000004">
      <c r="A405" s="8">
        <f t="shared" si="12"/>
        <v>2.0050000000000061E-2</v>
      </c>
      <c r="B405" s="8" cm="1">
        <f t="array" ref="B405">FAM(A405)</f>
        <v>0.36687546317347736</v>
      </c>
      <c r="C405" s="14">
        <v>-5.3573710146185435E-15</v>
      </c>
      <c r="D405" s="14">
        <v>0.36687546317347763</v>
      </c>
      <c r="F405" s="18">
        <f t="shared" si="13"/>
        <v>8020</v>
      </c>
      <c r="G405" s="14">
        <v>2.7843059455285406E-26</v>
      </c>
    </row>
    <row r="406" spans="1:7" x14ac:dyDescent="0.55000000000000004">
      <c r="A406" s="8">
        <f t="shared" si="12"/>
        <v>2.0100000000000062E-2</v>
      </c>
      <c r="B406" s="8" cm="1">
        <f t="array" ref="B406">FAM(A406)</f>
        <v>0.53762475061873893</v>
      </c>
      <c r="C406" s="14">
        <v>-1.5548236917469974E-14</v>
      </c>
      <c r="D406" s="14">
        <v>0.53762475061873893</v>
      </c>
      <c r="F406" s="18">
        <f t="shared" si="13"/>
        <v>8040</v>
      </c>
      <c r="G406" s="14">
        <v>2.399385061080383E-26</v>
      </c>
    </row>
    <row r="407" spans="1:7" x14ac:dyDescent="0.55000000000000004">
      <c r="A407" s="8">
        <f t="shared" si="12"/>
        <v>2.0150000000000064E-2</v>
      </c>
      <c r="B407" s="8" cm="1">
        <f t="array" ref="B407">FAM(A407)</f>
        <v>0.39336203553798355</v>
      </c>
      <c r="C407" s="14">
        <v>-4.7271069409754141E-15</v>
      </c>
      <c r="D407" s="14">
        <v>0.39336203553798371</v>
      </c>
      <c r="F407" s="18">
        <f t="shared" si="13"/>
        <v>8060</v>
      </c>
      <c r="G407" s="89">
        <v>2.0143519035655849E-26</v>
      </c>
    </row>
    <row r="408" spans="1:7" x14ac:dyDescent="0.55000000000000004">
      <c r="A408" s="8">
        <f t="shared" si="12"/>
        <v>2.0200000000000065E-2</v>
      </c>
      <c r="B408" s="8" cm="1">
        <f t="array" ref="B408">FAM(A408)</f>
        <v>-3.8701871671699904E-13</v>
      </c>
      <c r="C408" s="14">
        <v>-1.578332724842394E-14</v>
      </c>
      <c r="D408" s="14">
        <v>-3.870478225782927E-13</v>
      </c>
      <c r="F408" s="18">
        <f t="shared" si="13"/>
        <v>8080</v>
      </c>
      <c r="G408" s="14">
        <v>2.2791528549203063E-26</v>
      </c>
    </row>
    <row r="409" spans="1:7" x14ac:dyDescent="0.55000000000000004">
      <c r="A409" s="8">
        <f t="shared" si="12"/>
        <v>2.0250000000000067E-2</v>
      </c>
      <c r="B409" s="8" cm="1">
        <f t="array" ref="B409">FAM(A409)</f>
        <v>-0.41937816724670823</v>
      </c>
      <c r="C409" s="14">
        <v>-5.0631883900053221E-15</v>
      </c>
      <c r="D409" s="14">
        <v>-0.4193781672467084</v>
      </c>
      <c r="F409" s="18">
        <f t="shared" si="13"/>
        <v>8100</v>
      </c>
      <c r="G409" s="14">
        <v>2.8021945646487554E-26</v>
      </c>
    </row>
    <row r="410" spans="1:7" x14ac:dyDescent="0.55000000000000004">
      <c r="A410" s="8">
        <f t="shared" si="12"/>
        <v>2.0300000000000068E-2</v>
      </c>
      <c r="B410" s="8" cm="1">
        <f t="array" ref="B410">FAM(A410)</f>
        <v>-0.61110117345409776</v>
      </c>
      <c r="C410" s="14">
        <v>-1.6038739215079102E-14</v>
      </c>
      <c r="D410" s="14">
        <v>-0.61110117345409787</v>
      </c>
      <c r="F410" s="18">
        <f t="shared" si="13"/>
        <v>8120</v>
      </c>
      <c r="G410" s="14">
        <v>2.338596483030305E-26</v>
      </c>
    </row>
    <row r="411" spans="1:7" x14ac:dyDescent="0.55000000000000004">
      <c r="A411" s="8">
        <f t="shared" si="12"/>
        <v>2.0350000000000069E-2</v>
      </c>
      <c r="B411" s="8" cm="1">
        <f t="array" ref="B411">FAM(A411)</f>
        <v>-0.44461778851614725</v>
      </c>
      <c r="C411" s="14">
        <v>-5.2380306632644069E-15</v>
      </c>
      <c r="D411" s="14">
        <v>-0.44461778851614747</v>
      </c>
      <c r="F411" s="18">
        <f t="shared" si="13"/>
        <v>8140</v>
      </c>
      <c r="G411" s="14">
        <v>2.1835874680353173E-26</v>
      </c>
    </row>
    <row r="412" spans="1:7" x14ac:dyDescent="0.55000000000000004">
      <c r="A412" s="8">
        <f t="shared" si="12"/>
        <v>2.0400000000000071E-2</v>
      </c>
      <c r="B412" s="8" cm="1">
        <f t="array" ref="B412">FAM(A412)</f>
        <v>5.0150119084555644E-13</v>
      </c>
      <c r="C412" s="14">
        <v>-1.5220992184512355E-14</v>
      </c>
      <c r="D412" s="14">
        <v>5.0152605557281709E-13</v>
      </c>
      <c r="F412" s="18">
        <f t="shared" si="13"/>
        <v>8160</v>
      </c>
      <c r="G412" s="14">
        <v>2.3567656046235904E-26</v>
      </c>
    </row>
    <row r="413" spans="1:7" x14ac:dyDescent="0.55000000000000004">
      <c r="A413" s="8">
        <f t="shared" si="12"/>
        <v>2.0450000000000072E-2</v>
      </c>
      <c r="B413" s="8" cm="1">
        <f t="array" ref="B413">FAM(A413)</f>
        <v>0.46878604324209688</v>
      </c>
      <c r="C413" s="14">
        <v>-4.9114240641699421E-15</v>
      </c>
      <c r="D413" s="14">
        <v>0.46878604324209711</v>
      </c>
      <c r="F413" s="18">
        <f t="shared" si="13"/>
        <v>8180</v>
      </c>
      <c r="G413" s="14">
        <v>9.2336406187384778E-27</v>
      </c>
    </row>
    <row r="414" spans="1:7" x14ac:dyDescent="0.55000000000000004">
      <c r="A414" s="8">
        <f t="shared" si="12"/>
        <v>2.0500000000000074E-2</v>
      </c>
      <c r="B414" s="8" cm="1">
        <f t="array" ref="B414">FAM(A414)</f>
        <v>0.67936044933350115</v>
      </c>
      <c r="C414" s="14">
        <v>-1.5123152956446383E-14</v>
      </c>
      <c r="D414" s="14">
        <v>0.67936044933350126</v>
      </c>
      <c r="F414" s="18">
        <f t="shared" si="13"/>
        <v>8200</v>
      </c>
      <c r="G414" s="14">
        <v>2.0454391773216552E-26</v>
      </c>
    </row>
    <row r="415" spans="1:7" x14ac:dyDescent="0.55000000000000004">
      <c r="A415" s="8">
        <f t="shared" si="12"/>
        <v>2.0550000000000075E-2</v>
      </c>
      <c r="B415" s="8" cm="1">
        <f t="array" ref="B415">FAM(A415)</f>
        <v>0.49160353181141708</v>
      </c>
      <c r="C415" s="14">
        <v>-5.4845184040988815E-15</v>
      </c>
      <c r="D415" s="14">
        <v>0.4916035318114173</v>
      </c>
      <c r="F415" s="18">
        <f t="shared" si="13"/>
        <v>8220</v>
      </c>
      <c r="G415" s="14">
        <v>3.9717942946689565E-26</v>
      </c>
    </row>
    <row r="416" spans="1:7" x14ac:dyDescent="0.55000000000000004">
      <c r="A416" s="8">
        <f t="shared" si="12"/>
        <v>2.0600000000000077E-2</v>
      </c>
      <c r="B416" s="8" cm="1">
        <f t="array" ref="B416">FAM(A416)</f>
        <v>-6.2464300290291833E-13</v>
      </c>
      <c r="C416" s="14">
        <v>-1.5432227875913801E-14</v>
      </c>
      <c r="D416" s="14">
        <v>-6.2466722636982515E-13</v>
      </c>
      <c r="F416" s="18">
        <f t="shared" si="13"/>
        <v>8240</v>
      </c>
      <c r="G416" s="14">
        <v>3.8455267570834417E-26</v>
      </c>
    </row>
    <row r="417" spans="1:7" x14ac:dyDescent="0.55000000000000004">
      <c r="A417" s="8">
        <f t="shared" si="12"/>
        <v>2.0650000000000078E-2</v>
      </c>
      <c r="B417" s="8" cm="1">
        <f t="array" ref="B417">FAM(A417)</f>
        <v>-0.5128103158584929</v>
      </c>
      <c r="C417" s="14">
        <v>-4.8473739944801263E-15</v>
      </c>
      <c r="D417" s="14">
        <v>-0.51281031585849313</v>
      </c>
      <c r="F417" s="18">
        <f t="shared" si="13"/>
        <v>8260</v>
      </c>
      <c r="G417" s="14">
        <v>2.6250315362201636E-26</v>
      </c>
    </row>
    <row r="418" spans="1:7" x14ac:dyDescent="0.55000000000000004">
      <c r="A418" s="8">
        <f t="shared" si="12"/>
        <v>2.0700000000000079E-2</v>
      </c>
      <c r="B418" s="8" cm="1">
        <f t="array" ref="B418">FAM(A418)</f>
        <v>-0.73925850686818817</v>
      </c>
      <c r="C418" s="14">
        <v>-1.4528885514516884E-14</v>
      </c>
      <c r="D418" s="14">
        <v>-0.73925850686818806</v>
      </c>
      <c r="F418" s="18">
        <f t="shared" si="13"/>
        <v>8280</v>
      </c>
      <c r="G418" s="14">
        <v>2.6833818291862495E-26</v>
      </c>
    </row>
    <row r="419" spans="1:7" x14ac:dyDescent="0.55000000000000004">
      <c r="A419" s="8">
        <f t="shared" si="12"/>
        <v>2.0750000000000081E-2</v>
      </c>
      <c r="B419" s="8" cm="1">
        <f t="array" ref="B419">FAM(A419)</f>
        <v>-0.5321696233483334</v>
      </c>
      <c r="C419" s="14">
        <v>-5.2867075159821404E-15</v>
      </c>
      <c r="D419" s="14">
        <v>-0.5321696233483334</v>
      </c>
      <c r="F419" s="18">
        <f t="shared" si="13"/>
        <v>8300</v>
      </c>
      <c r="G419" s="14">
        <v>2.5424304147860811E-26</v>
      </c>
    </row>
    <row r="420" spans="1:7" x14ac:dyDescent="0.55000000000000004">
      <c r="A420" s="8">
        <f t="shared" si="12"/>
        <v>2.0800000000000082E-2</v>
      </c>
      <c r="B420" s="8" cm="1">
        <f t="array" ref="B420">FAM(A420)</f>
        <v>7.5146041131148146E-13</v>
      </c>
      <c r="C420" s="14">
        <v>-1.4769488938979694E-14</v>
      </c>
      <c r="D420" s="14">
        <v>7.5147578060593108E-13</v>
      </c>
      <c r="F420" s="18">
        <f t="shared" si="13"/>
        <v>8320</v>
      </c>
      <c r="G420" s="14">
        <v>2.0449400047742339E-26</v>
      </c>
    </row>
    <row r="421" spans="1:7" x14ac:dyDescent="0.55000000000000004">
      <c r="A421" s="8">
        <f t="shared" si="12"/>
        <v>2.0850000000000084E-2</v>
      </c>
      <c r="B421" s="8" cm="1">
        <f t="array" ref="B421">FAM(A421)</f>
        <v>0.54947119716180126</v>
      </c>
      <c r="C421" s="14">
        <v>-5.2734668882533222E-15</v>
      </c>
      <c r="D421" s="14">
        <v>0.54947119716180137</v>
      </c>
      <c r="F421" s="18">
        <f t="shared" si="13"/>
        <v>8340</v>
      </c>
      <c r="G421" s="14">
        <v>2.429679167942365E-26</v>
      </c>
    </row>
    <row r="422" spans="1:7" x14ac:dyDescent="0.55000000000000004">
      <c r="A422" s="8">
        <f t="shared" si="12"/>
        <v>2.0900000000000085E-2</v>
      </c>
      <c r="B422" s="8" cm="1">
        <f t="array" ref="B422">FAM(A422)</f>
        <v>0.78813076948901706</v>
      </c>
      <c r="C422" s="14">
        <v>-1.4824008343349823E-14</v>
      </c>
      <c r="D422" s="14">
        <v>0.78813076948901695</v>
      </c>
      <c r="F422" s="18">
        <f t="shared" si="13"/>
        <v>8360</v>
      </c>
      <c r="G422" s="14">
        <v>2.6302193118972382E-26</v>
      </c>
    </row>
    <row r="423" spans="1:7" x14ac:dyDescent="0.55000000000000004">
      <c r="A423" s="8">
        <f t="shared" si="12"/>
        <v>2.0950000000000087E-2</v>
      </c>
      <c r="B423" s="8" cm="1">
        <f t="array" ref="B423">FAM(A423)</f>
        <v>0.5645342358388894</v>
      </c>
      <c r="C423" s="14">
        <v>-4.993299867165488E-15</v>
      </c>
      <c r="D423" s="14">
        <v>0.56453423583888951</v>
      </c>
      <c r="F423" s="18">
        <f t="shared" si="13"/>
        <v>8380</v>
      </c>
      <c r="G423" s="14">
        <v>2.3579704070369109E-26</v>
      </c>
    </row>
    <row r="424" spans="1:7" x14ac:dyDescent="0.55000000000000004">
      <c r="A424" s="8">
        <f t="shared" si="12"/>
        <v>2.1000000000000088E-2</v>
      </c>
      <c r="B424" s="8" cm="1">
        <f t="array" ref="B424">FAM(A424)</f>
        <v>-8.3045559135671229E-13</v>
      </c>
      <c r="C424" s="14">
        <v>-1.4302748876882823E-14</v>
      </c>
      <c r="D424" s="14">
        <v>-8.3047075829271801E-13</v>
      </c>
      <c r="F424" s="18">
        <f t="shared" si="13"/>
        <v>8400</v>
      </c>
      <c r="G424" s="14">
        <v>2.2108799878647758E-26</v>
      </c>
    </row>
    <row r="425" spans="1:7" x14ac:dyDescent="0.55000000000000004">
      <c r="A425" s="8">
        <f t="shared" si="12"/>
        <v>2.1050000000000089E-2</v>
      </c>
      <c r="B425" s="8" cm="1">
        <f t="array" ref="B425">FAM(A425)</f>
        <v>-0.57720988164433851</v>
      </c>
      <c r="C425" s="14">
        <v>-5.4571536545574112E-15</v>
      </c>
      <c r="D425" s="14">
        <v>-0.57720988164433862</v>
      </c>
      <c r="F425" s="18">
        <f t="shared" si="13"/>
        <v>8420</v>
      </c>
      <c r="G425" s="14">
        <v>2.1863994214338995E-26</v>
      </c>
    </row>
    <row r="426" spans="1:7" x14ac:dyDescent="0.55000000000000004">
      <c r="A426" s="8">
        <f t="shared" si="12"/>
        <v>2.1100000000000091E-2</v>
      </c>
      <c r="B426" s="8" cm="1">
        <f t="array" ref="B426">FAM(A426)</f>
        <v>-0.82394224809548566</v>
      </c>
      <c r="C426" s="14">
        <v>-1.4381239548085697E-14</v>
      </c>
      <c r="D426" s="14">
        <v>-0.82394224809548555</v>
      </c>
      <c r="F426" s="18">
        <f t="shared" si="13"/>
        <v>8440</v>
      </c>
      <c r="G426" s="14">
        <v>2.3178003191213455E-26</v>
      </c>
    </row>
    <row r="427" spans="1:7" x14ac:dyDescent="0.55000000000000004">
      <c r="A427" s="8">
        <f t="shared" si="12"/>
        <v>2.1150000000000092E-2</v>
      </c>
      <c r="B427" s="8" cm="1">
        <f t="array" ref="B427">FAM(A427)</f>
        <v>-0.5873832180853934</v>
      </c>
      <c r="C427" s="14">
        <v>-5.658770178586109E-15</v>
      </c>
      <c r="D427" s="14">
        <v>-0.58738321808539351</v>
      </c>
      <c r="F427" s="18">
        <f t="shared" si="13"/>
        <v>8460</v>
      </c>
      <c r="G427" s="14">
        <v>2.369096998481106E-26</v>
      </c>
    </row>
    <row r="428" spans="1:7" x14ac:dyDescent="0.55000000000000004">
      <c r="A428" s="8">
        <f t="shared" si="12"/>
        <v>2.1200000000000094E-2</v>
      </c>
      <c r="B428" s="8" cm="1">
        <f t="array" ref="B428">FAM(A428)</f>
        <v>9.4609196804410938E-13</v>
      </c>
      <c r="C428" s="14">
        <v>-1.4164662914697384E-14</v>
      </c>
      <c r="D428" s="14">
        <v>9.4609498613495662E-13</v>
      </c>
      <c r="F428" s="18">
        <f t="shared" si="13"/>
        <v>8480</v>
      </c>
      <c r="G428" s="14">
        <v>2.4302300508711859E-26</v>
      </c>
    </row>
    <row r="429" spans="1:7" x14ac:dyDescent="0.55000000000000004">
      <c r="A429" s="8">
        <f t="shared" si="12"/>
        <v>2.1250000000000095E-2</v>
      </c>
      <c r="B429" s="8" cm="1">
        <f t="array" ref="B429">FAM(A429)</f>
        <v>0.59497474683127616</v>
      </c>
      <c r="C429" s="14">
        <v>-5.114194177931783E-15</v>
      </c>
      <c r="D429" s="14">
        <v>0.59497474683127638</v>
      </c>
      <c r="F429" s="18">
        <f t="shared" si="13"/>
        <v>8500</v>
      </c>
      <c r="G429" s="14">
        <v>2.4976509064064566E-26</v>
      </c>
    </row>
    <row r="430" spans="1:7" x14ac:dyDescent="0.55000000000000004">
      <c r="A430" s="8">
        <f t="shared" si="12"/>
        <v>2.1300000000000097E-2</v>
      </c>
      <c r="B430" s="8" cm="1">
        <f t="array" ref="B430">FAM(A430)</f>
        <v>0.84539907116994184</v>
      </c>
      <c r="C430" s="14">
        <v>-1.3653984206803835E-14</v>
      </c>
      <c r="D430" s="14">
        <v>0.84539907116994173</v>
      </c>
      <c r="F430" s="18">
        <f t="shared" si="13"/>
        <v>8520</v>
      </c>
      <c r="G430" s="14">
        <v>2.3734258405721688E-26</v>
      </c>
    </row>
    <row r="431" spans="1:7" x14ac:dyDescent="0.55000000000000004">
      <c r="A431" s="8">
        <f t="shared" si="12"/>
        <v>2.1350000000000098E-2</v>
      </c>
      <c r="B431" s="8" cm="1">
        <f t="array" ref="B431">FAM(A431)</f>
        <v>0.59994132199117689</v>
      </c>
      <c r="C431" s="14">
        <v>-5.3061169543314878E-15</v>
      </c>
      <c r="D431" s="14">
        <v>0.599941321991177</v>
      </c>
      <c r="F431" s="18">
        <f t="shared" si="13"/>
        <v>8540</v>
      </c>
      <c r="G431" s="14">
        <v>2.3236306242147954E-26</v>
      </c>
    </row>
    <row r="432" spans="1:7" x14ac:dyDescent="0.55000000000000004">
      <c r="A432" s="8">
        <f t="shared" si="12"/>
        <v>2.1400000000000099E-2</v>
      </c>
      <c r="B432" s="8" cm="1">
        <f t="array" ref="B432">FAM(A432)</f>
        <v>-1.0495050685358867E-12</v>
      </c>
      <c r="C432" s="14">
        <v>-1.3860147462345065E-14</v>
      </c>
      <c r="D432" s="14">
        <v>-1.0495092565810274E-12</v>
      </c>
      <c r="F432" s="38">
        <f t="shared" si="13"/>
        <v>8560</v>
      </c>
      <c r="G432" s="14">
        <v>2.2859903098723668E-26</v>
      </c>
    </row>
    <row r="433" spans="1:7" x14ac:dyDescent="0.55000000000000004">
      <c r="A433" s="8">
        <f t="shared" si="12"/>
        <v>2.1450000000000101E-2</v>
      </c>
      <c r="B433" s="8" cm="1">
        <f t="array" ref="B433">FAM(A433)</f>
        <v>-0.60227652835734291</v>
      </c>
      <c r="C433" s="14">
        <v>-5.5393961723685509E-15</v>
      </c>
      <c r="D433" s="14">
        <v>-0.60227652835734324</v>
      </c>
      <c r="F433" s="18">
        <f t="shared" si="13"/>
        <v>8580</v>
      </c>
      <c r="G433" s="14">
        <v>2.3364434192907863E-26</v>
      </c>
    </row>
    <row r="434" spans="1:7" x14ac:dyDescent="0.55000000000000004">
      <c r="A434" s="8">
        <f t="shared" si="12"/>
        <v>2.1500000000000102E-2</v>
      </c>
      <c r="B434" s="8" cm="1">
        <f t="array" ref="B434">FAM(A434)</f>
        <v>-0.85201470213401997</v>
      </c>
      <c r="C434" s="14">
        <v>-1.36613760523727E-14</v>
      </c>
      <c r="D434" s="14">
        <v>-0.85201470213401986</v>
      </c>
      <c r="F434" s="18">
        <f t="shared" si="13"/>
        <v>8600</v>
      </c>
      <c r="G434" s="14">
        <v>2.3257609770518034E-26</v>
      </c>
    </row>
    <row r="435" spans="1:7" x14ac:dyDescent="0.55000000000000004">
      <c r="A435" s="8">
        <f t="shared" si="12"/>
        <v>2.1550000000000104E-2</v>
      </c>
      <c r="B435" s="8" cm="1">
        <f t="array" ref="B435">FAM(A435)</f>
        <v>-0.6020104987558349</v>
      </c>
      <c r="C435" s="14">
        <v>-5.2038794229370615E-15</v>
      </c>
      <c r="D435" s="14">
        <v>-0.60201049875583523</v>
      </c>
      <c r="F435" s="18">
        <f t="shared" si="13"/>
        <v>8620</v>
      </c>
      <c r="G435" s="14">
        <v>2.3027359195587125E-26</v>
      </c>
    </row>
    <row r="436" spans="1:7" x14ac:dyDescent="0.55000000000000004">
      <c r="A436" s="8">
        <f t="shared" si="12"/>
        <v>2.1600000000000105E-2</v>
      </c>
      <c r="B436" s="8" cm="1">
        <f t="array" ref="B436">FAM(A436)</f>
        <v>1.0877510354553568E-12</v>
      </c>
      <c r="C436" s="14">
        <v>-1.3439424762643721E-14</v>
      </c>
      <c r="D436" s="14">
        <v>1.0877414799880867E-12</v>
      </c>
      <c r="F436" s="18">
        <f t="shared" si="13"/>
        <v>8640</v>
      </c>
      <c r="G436" s="14">
        <v>2.3853101444289417E-26</v>
      </c>
    </row>
    <row r="437" spans="1:7" x14ac:dyDescent="0.55000000000000004">
      <c r="A437" s="8">
        <f t="shared" si="12"/>
        <v>2.1650000000000107E-2</v>
      </c>
      <c r="B437" s="8" cm="1">
        <f t="array" ref="B437">FAM(A437)</f>
        <v>0.59920917459501866</v>
      </c>
      <c r="C437" s="14">
        <v>-5.6997344812812379E-15</v>
      </c>
      <c r="D437" s="14">
        <v>0.59920917459501888</v>
      </c>
      <c r="F437" s="18">
        <f t="shared" si="13"/>
        <v>8660</v>
      </c>
      <c r="G437" s="14">
        <v>2.2371253578693129E-26</v>
      </c>
    </row>
    <row r="438" spans="1:7" x14ac:dyDescent="0.55000000000000004">
      <c r="A438" s="8">
        <f t="shared" si="12"/>
        <v>2.1700000000000108E-2</v>
      </c>
      <c r="B438" s="8" cm="1">
        <f t="array" ref="B438">FAM(A438)</f>
        <v>0.84412692110916943</v>
      </c>
      <c r="C438" s="14">
        <v>-1.3420731533723872E-14</v>
      </c>
      <c r="D438" s="14">
        <v>0.84412692110916909</v>
      </c>
      <c r="F438" s="18">
        <f t="shared" si="13"/>
        <v>8680</v>
      </c>
      <c r="G438" s="14">
        <v>2.1995963905305957E-26</v>
      </c>
    </row>
    <row r="439" spans="1:7" x14ac:dyDescent="0.55000000000000004">
      <c r="A439" s="8">
        <f t="shared" si="12"/>
        <v>2.175000000000011E-2</v>
      </c>
      <c r="B439" s="8" cm="1">
        <f t="array" ref="B439">FAM(A439)</f>
        <v>0.59397302222300896</v>
      </c>
      <c r="C439" s="14">
        <v>-5.7031778846732184E-15</v>
      </c>
      <c r="D439" s="14">
        <v>0.59397302222300918</v>
      </c>
      <c r="F439" s="18">
        <f t="shared" si="13"/>
        <v>8700</v>
      </c>
      <c r="G439" s="14">
        <v>2.3154748426238574E-26</v>
      </c>
    </row>
    <row r="440" spans="1:7" x14ac:dyDescent="0.55000000000000004">
      <c r="A440" s="8">
        <f t="shared" si="12"/>
        <v>2.1800000000000111E-2</v>
      </c>
      <c r="B440" s="8" cm="1">
        <f t="array" ref="B440">FAM(A440)</f>
        <v>-1.1547887510925501E-12</v>
      </c>
      <c r="C440" s="14">
        <v>-1.301664098372263E-14</v>
      </c>
      <c r="D440" s="14">
        <v>-1.1547826502604512E-12</v>
      </c>
      <c r="F440" s="18">
        <f t="shared" si="13"/>
        <v>8720</v>
      </c>
      <c r="G440" s="14">
        <v>2.2853720847334626E-26</v>
      </c>
    </row>
    <row r="441" spans="1:7" x14ac:dyDescent="0.55000000000000004">
      <c r="A441" s="8">
        <f t="shared" si="12"/>
        <v>2.1850000000000112E-2</v>
      </c>
      <c r="B441" s="8" cm="1">
        <f t="array" ref="B441">FAM(A441)</f>
        <v>-0.58643522639577095</v>
      </c>
      <c r="C441" s="14">
        <v>-4.9327834449351215E-15</v>
      </c>
      <c r="D441" s="14">
        <v>-0.58643522639577117</v>
      </c>
      <c r="F441" s="18">
        <f t="shared" si="13"/>
        <v>8740</v>
      </c>
      <c r="G441" s="14">
        <v>2.3165728784001241E-26</v>
      </c>
    </row>
    <row r="442" spans="1:7" x14ac:dyDescent="0.55000000000000004">
      <c r="A442" s="8">
        <f t="shared" si="12"/>
        <v>2.1900000000000114E-2</v>
      </c>
      <c r="B442" s="8" cm="1">
        <f t="array" ref="B442">FAM(A442)</f>
        <v>-0.82286471836337571</v>
      </c>
      <c r="C442" s="14">
        <v>-1.2980055108489145E-14</v>
      </c>
      <c r="D442" s="14">
        <v>-0.82286471836337571</v>
      </c>
      <c r="F442" s="18">
        <f t="shared" si="13"/>
        <v>8760</v>
      </c>
      <c r="G442" s="14">
        <v>2.328997906184858E-26</v>
      </c>
    </row>
    <row r="443" spans="1:7" x14ac:dyDescent="0.55000000000000004">
      <c r="A443" s="8">
        <f t="shared" si="12"/>
        <v>2.1950000000000115E-2</v>
      </c>
      <c r="B443" s="8" cm="1">
        <f t="array" ref="B443">FAM(A443)</f>
        <v>-0.57675939012398758</v>
      </c>
      <c r="C443" s="14">
        <v>-5.5119700636552054E-15</v>
      </c>
      <c r="D443" s="14">
        <v>-0.57675939012398758</v>
      </c>
      <c r="F443" s="18">
        <f t="shared" si="13"/>
        <v>8780</v>
      </c>
      <c r="G443" s="14">
        <v>2.3005311943945146E-26</v>
      </c>
    </row>
    <row r="444" spans="1:7" x14ac:dyDescent="0.55000000000000004">
      <c r="A444" s="8">
        <f t="shared" si="12"/>
        <v>2.2000000000000117E-2</v>
      </c>
      <c r="B444" s="8" cm="1">
        <f t="array" ref="B444">FAM(A444)</f>
        <v>1.2001612645547798E-12</v>
      </c>
      <c r="C444" s="14">
        <v>-1.2801188850084871E-14</v>
      </c>
      <c r="D444" s="14">
        <v>1.2001415686561971E-12</v>
      </c>
      <c r="F444" s="18">
        <f t="shared" si="13"/>
        <v>8800</v>
      </c>
      <c r="G444" s="14">
        <v>2.2185175952651598E-26</v>
      </c>
    </row>
    <row r="445" spans="1:7" x14ac:dyDescent="0.55000000000000004">
      <c r="A445" s="8">
        <f t="shared" si="12"/>
        <v>2.2050000000000118E-2</v>
      </c>
      <c r="B445" s="8" cm="1">
        <f t="array" ref="B445">FAM(A445)</f>
        <v>0.56513677806289442</v>
      </c>
      <c r="C445" s="14">
        <v>-5.7971734264945527E-15</v>
      </c>
      <c r="D445" s="14">
        <v>0.56513677806289475</v>
      </c>
      <c r="F445" s="18">
        <f t="shared" si="13"/>
        <v>8820</v>
      </c>
      <c r="G445" s="14">
        <v>2.3254974988578692E-26</v>
      </c>
    </row>
    <row r="446" spans="1:7" x14ac:dyDescent="0.55000000000000004">
      <c r="A446" s="8">
        <f t="shared" si="12"/>
        <v>2.210000000000012E-2</v>
      </c>
      <c r="B446" s="8" cm="1">
        <f t="array" ref="B446">FAM(A446)</f>
        <v>0.79006736704605085</v>
      </c>
      <c r="C446" s="14">
        <v>-1.2692334041255821E-14</v>
      </c>
      <c r="D446" s="14">
        <v>0.79006736704605085</v>
      </c>
      <c r="F446" s="18">
        <f t="shared" si="13"/>
        <v>8840</v>
      </c>
      <c r="G446" s="14">
        <v>2.2917572437013793E-26</v>
      </c>
    </row>
    <row r="447" spans="1:7" x14ac:dyDescent="0.55000000000000004">
      <c r="A447" s="8">
        <f t="shared" si="12"/>
        <v>2.2150000000000121E-2</v>
      </c>
      <c r="B447" s="8" cm="1">
        <f t="array" ref="B447">FAM(A447)</f>
        <v>0.55178314751139224</v>
      </c>
      <c r="C447" s="14">
        <v>-5.5688167442727572E-15</v>
      </c>
      <c r="D447" s="14">
        <v>0.55178314751139257</v>
      </c>
      <c r="F447" s="18">
        <f t="shared" si="13"/>
        <v>8860</v>
      </c>
      <c r="G447" s="14">
        <v>2.5295059657288601E-26</v>
      </c>
    </row>
    <row r="448" spans="1:7" x14ac:dyDescent="0.55000000000000004">
      <c r="A448" s="8">
        <f t="shared" si="12"/>
        <v>2.2200000000000122E-2</v>
      </c>
      <c r="B448" s="8" cm="1">
        <f t="array" ref="B448">FAM(A448)</f>
        <v>-1.223414667837911E-12</v>
      </c>
      <c r="C448" s="14">
        <v>-1.2988949113095306E-14</v>
      </c>
      <c r="D448" s="14">
        <v>-1.2234013013596878E-12</v>
      </c>
      <c r="F448" s="18">
        <f t="shared" si="13"/>
        <v>8880</v>
      </c>
      <c r="G448" s="14">
        <v>2.1946759290088495E-26</v>
      </c>
    </row>
    <row r="449" spans="1:7" x14ac:dyDescent="0.55000000000000004">
      <c r="A449" s="8">
        <f t="shared" si="12"/>
        <v>2.2250000000000124E-2</v>
      </c>
      <c r="B449" s="8" cm="1">
        <f t="array" ref="B449">FAM(A449)</f>
        <v>-0.53693521770571839</v>
      </c>
      <c r="C449" s="14">
        <v>-5.6116932288765182E-15</v>
      </c>
      <c r="D449" s="14">
        <v>-0.53693521770571861</v>
      </c>
      <c r="F449" s="18">
        <f t="shared" si="13"/>
        <v>8900</v>
      </c>
      <c r="G449" s="14">
        <v>2.2118610821720513E-26</v>
      </c>
    </row>
    <row r="450" spans="1:7" x14ac:dyDescent="0.55000000000000004">
      <c r="A450" s="8">
        <f t="shared" si="12"/>
        <v>2.2300000000000125E-2</v>
      </c>
      <c r="B450" s="8" cm="1">
        <f t="array" ref="B450">FAM(A450)</f>
        <v>-0.74816091769584325</v>
      </c>
      <c r="C450" s="14">
        <v>-1.2532705093694491E-14</v>
      </c>
      <c r="D450" s="14">
        <v>-0.74816091769584314</v>
      </c>
      <c r="F450" s="18">
        <f t="shared" si="13"/>
        <v>8920</v>
      </c>
      <c r="G450" s="14">
        <v>2.315244358675491E-26</v>
      </c>
    </row>
    <row r="451" spans="1:7" x14ac:dyDescent="0.55000000000000004">
      <c r="A451" s="8">
        <f t="shared" si="12"/>
        <v>2.2350000000000127E-2</v>
      </c>
      <c r="B451" s="8" cm="1">
        <f t="array" ref="B451">FAM(A451)</f>
        <v>-0.52084683348710936</v>
      </c>
      <c r="C451" s="14">
        <v>-5.3430749391638952E-15</v>
      </c>
      <c r="D451" s="14">
        <v>-0.52084683348710958</v>
      </c>
      <c r="F451" s="18">
        <f t="shared" si="13"/>
        <v>8940</v>
      </c>
      <c r="G451" s="14">
        <v>1.8748861545661079E-26</v>
      </c>
    </row>
    <row r="452" spans="1:7" x14ac:dyDescent="0.55000000000000004">
      <c r="A452" s="8">
        <f t="shared" si="12"/>
        <v>2.2400000000000128E-2</v>
      </c>
      <c r="B452" s="8" cm="1">
        <f t="array" ref="B452">FAM(A452)</f>
        <v>1.1846525413751732E-12</v>
      </c>
      <c r="C452" s="14">
        <v>-1.1864939536895296E-14</v>
      </c>
      <c r="D452" s="14">
        <v>1.1846271873802438E-12</v>
      </c>
      <c r="F452" s="18">
        <f t="shared" si="13"/>
        <v>8960</v>
      </c>
      <c r="G452" s="14">
        <v>1.7430780638436399E-26</v>
      </c>
    </row>
    <row r="453" spans="1:7" x14ac:dyDescent="0.55000000000000004">
      <c r="A453" s="8">
        <f t="shared" si="12"/>
        <v>2.245000000000013E-2</v>
      </c>
      <c r="B453" s="8" cm="1">
        <f t="array" ref="B453">FAM(A453)</f>
        <v>0.50378488435978241</v>
      </c>
      <c r="C453" s="36">
        <v>-5.7986847747060346E-15</v>
      </c>
      <c r="D453" s="36">
        <v>0.50378488435978253</v>
      </c>
      <c r="F453" s="38">
        <f t="shared" si="13"/>
        <v>8980</v>
      </c>
      <c r="G453" s="36">
        <v>2.3979962618297096E-26</v>
      </c>
    </row>
    <row r="454" spans="1:7" x14ac:dyDescent="0.55000000000000004">
      <c r="A454" s="4">
        <f t="shared" ref="A454:A517" si="14">A453+0.00005</f>
        <v>2.2500000000000131E-2</v>
      </c>
      <c r="B454" s="4" cm="1">
        <f t="array" ref="B454">FAM(A454)</f>
        <v>0.6999999999999732</v>
      </c>
      <c r="C454" s="13">
        <v>-1.2113484051962939E-14</v>
      </c>
      <c r="D454" s="13">
        <v>0.69999999999997309</v>
      </c>
      <c r="F454" s="17">
        <f t="shared" ref="F454:F504" si="15">20000/1000+F453</f>
        <v>9000</v>
      </c>
      <c r="G454" s="13">
        <v>2.3349878928824707E-26</v>
      </c>
    </row>
    <row r="455" spans="1:7" x14ac:dyDescent="0.55000000000000004">
      <c r="A455" s="8">
        <f t="shared" si="14"/>
        <v>2.2550000000000132E-2</v>
      </c>
      <c r="B455" s="8" cm="1">
        <f t="array" ref="B455">FAM(A455)</f>
        <v>0.4860250434967513</v>
      </c>
      <c r="C455" s="14">
        <v>-5.9276722244137832E-15</v>
      </c>
      <c r="D455" s="14">
        <v>0.48602504349675169</v>
      </c>
      <c r="F455" s="18">
        <f t="shared" si="15"/>
        <v>9020</v>
      </c>
      <c r="G455" s="14">
        <v>2.2992640771246178E-26</v>
      </c>
    </row>
    <row r="456" spans="1:7" x14ac:dyDescent="0.55000000000000004">
      <c r="A456" s="8">
        <f t="shared" si="14"/>
        <v>2.2600000000000134E-2</v>
      </c>
      <c r="B456" s="8" cm="1">
        <f t="array" ref="B456">FAM(A456)</f>
        <v>-1.1721117215792139E-12</v>
      </c>
      <c r="C456" s="14">
        <v>-1.2362227995655549E-14</v>
      </c>
      <c r="D456" s="14">
        <v>-1.1720956028683735E-12</v>
      </c>
      <c r="F456" s="18">
        <f t="shared" si="15"/>
        <v>9040</v>
      </c>
      <c r="G456" s="14">
        <v>2.2341397925523585E-26</v>
      </c>
    </row>
    <row r="457" spans="1:7" x14ac:dyDescent="0.55000000000000004">
      <c r="A457" s="8">
        <f t="shared" si="14"/>
        <v>2.2650000000000135E-2</v>
      </c>
      <c r="B457" s="8" cm="1">
        <f t="array" ref="B457">FAM(A457)</f>
        <v>-0.46784739420428317</v>
      </c>
      <c r="C457" s="14">
        <v>-5.440861606961544E-15</v>
      </c>
      <c r="D457" s="14">
        <v>-0.46784739420428328</v>
      </c>
      <c r="F457" s="18">
        <f t="shared" si="15"/>
        <v>9060</v>
      </c>
      <c r="G457" s="14">
        <v>2.1937348726015622E-26</v>
      </c>
    </row>
    <row r="458" spans="1:7" x14ac:dyDescent="0.55000000000000004">
      <c r="A458" s="8">
        <f t="shared" si="14"/>
        <v>2.2700000000000137E-2</v>
      </c>
      <c r="B458" s="8" cm="1">
        <f t="array" ref="B458">FAM(A458)</f>
        <v>-0.64868496282989507</v>
      </c>
      <c r="C458" s="14">
        <v>-1.2117960549647896E-14</v>
      </c>
      <c r="D458" s="14">
        <v>-0.64868496282989496</v>
      </c>
      <c r="F458" s="18">
        <f t="shared" si="15"/>
        <v>9080</v>
      </c>
      <c r="G458" s="89">
        <v>2.0101387995069387E-26</v>
      </c>
    </row>
    <row r="459" spans="1:7" x14ac:dyDescent="0.55000000000000004">
      <c r="A459" s="8">
        <f t="shared" si="14"/>
        <v>2.2750000000000138E-2</v>
      </c>
      <c r="B459" s="8" cm="1">
        <f t="array" ref="B459">FAM(A459)</f>
        <v>-0.44953201281429711</v>
      </c>
      <c r="C459" s="14">
        <v>-5.6169104652883893E-15</v>
      </c>
      <c r="D459" s="14">
        <v>-0.44953201281429717</v>
      </c>
      <c r="F459" s="18">
        <f t="shared" si="15"/>
        <v>9100</v>
      </c>
      <c r="G459" s="14">
        <v>2.3328758216866869E-26</v>
      </c>
    </row>
    <row r="460" spans="1:7" x14ac:dyDescent="0.55000000000000004">
      <c r="A460" s="8">
        <f t="shared" si="14"/>
        <v>2.280000000000014E-2</v>
      </c>
      <c r="B460" s="8" cm="1">
        <f t="array" ref="B460">FAM(A460)</f>
        <v>1.1463578979757947E-12</v>
      </c>
      <c r="C460" s="14">
        <v>-1.1940582372541361E-14</v>
      </c>
      <c r="D460" s="14">
        <v>1.1463323330734986E-12</v>
      </c>
      <c r="F460" s="18">
        <f t="shared" si="15"/>
        <v>9120</v>
      </c>
      <c r="G460" s="14">
        <v>2.2446550588594528E-26</v>
      </c>
    </row>
    <row r="461" spans="1:7" x14ac:dyDescent="0.55000000000000004">
      <c r="A461" s="8">
        <f t="shared" si="14"/>
        <v>2.2850000000000141E-2</v>
      </c>
      <c r="B461" s="8" cm="1">
        <f t="array" ref="B461">FAM(A461)</f>
        <v>0.43135457777126518</v>
      </c>
      <c r="C461" s="14">
        <v>-6.1520095111853736E-15</v>
      </c>
      <c r="D461" s="14">
        <v>0.43135457777126535</v>
      </c>
      <c r="F461" s="18">
        <f t="shared" si="15"/>
        <v>9140</v>
      </c>
      <c r="G461" s="14">
        <v>2.2380285827878282E-26</v>
      </c>
    </row>
    <row r="462" spans="1:7" x14ac:dyDescent="0.55000000000000004">
      <c r="A462" s="8">
        <f t="shared" si="14"/>
        <v>2.2900000000000142E-2</v>
      </c>
      <c r="B462" s="8" cm="1">
        <f t="array" ref="B462">FAM(A462)</f>
        <v>0.5973658974053534</v>
      </c>
      <c r="C462" s="14">
        <v>-1.100382022275794E-14</v>
      </c>
      <c r="D462" s="14">
        <v>0.5973658974053534</v>
      </c>
      <c r="F462" s="18">
        <f t="shared" si="15"/>
        <v>9160</v>
      </c>
      <c r="G462" s="14">
        <v>2.1611110432735098E-26</v>
      </c>
    </row>
    <row r="463" spans="1:7" x14ac:dyDescent="0.55000000000000004">
      <c r="A463" s="8">
        <f t="shared" si="14"/>
        <v>2.2950000000000144E-2</v>
      </c>
      <c r="B463" s="8" cm="1">
        <f t="array" ref="B463">FAM(A463)</f>
        <v>0.41358207395279684</v>
      </c>
      <c r="C463" s="14">
        <v>-5.7258844735238778E-15</v>
      </c>
      <c r="D463" s="14">
        <v>0.41358207395279689</v>
      </c>
      <c r="F463" s="18">
        <f t="shared" si="15"/>
        <v>9180</v>
      </c>
      <c r="G463" s="14">
        <v>2.0413687727746104E-26</v>
      </c>
    </row>
    <row r="464" spans="1:7" x14ac:dyDescent="0.55000000000000004">
      <c r="A464" s="8">
        <f t="shared" si="14"/>
        <v>2.3000000000000145E-2</v>
      </c>
      <c r="B464" s="8" cm="1">
        <f t="array" ref="B464">FAM(A464)</f>
        <v>-1.08038003870032E-12</v>
      </c>
      <c r="C464" s="14">
        <v>-1.1474201803750409E-14</v>
      </c>
      <c r="D464" s="14">
        <v>-1.0803659789715743E-12</v>
      </c>
      <c r="F464" s="18">
        <f t="shared" si="15"/>
        <v>9200</v>
      </c>
      <c r="G464" s="14">
        <v>2.1849966458148846E-26</v>
      </c>
    </row>
    <row r="465" spans="1:7" x14ac:dyDescent="0.55000000000000004">
      <c r="A465" s="8">
        <f t="shared" si="14"/>
        <v>2.3050000000000147E-2</v>
      </c>
      <c r="B465" s="8" cm="1">
        <f t="array" ref="B465">FAM(A465)</f>
        <v>-0.39646865986866398</v>
      </c>
      <c r="C465" s="14">
        <v>-5.1979475536709142E-15</v>
      </c>
      <c r="D465" s="14">
        <v>-0.39646865986866398</v>
      </c>
      <c r="F465" s="18">
        <f t="shared" si="15"/>
        <v>9220</v>
      </c>
      <c r="G465" s="14">
        <v>2.2295917266500435E-26</v>
      </c>
    </row>
    <row r="466" spans="1:7" x14ac:dyDescent="0.55000000000000004">
      <c r="A466" s="8">
        <f t="shared" si="14"/>
        <v>2.3100000000000148E-2</v>
      </c>
      <c r="B466" s="8" cm="1">
        <f t="array" ref="B466">FAM(A466)</f>
        <v>-0.5490458759918837</v>
      </c>
      <c r="C466" s="14">
        <v>-1.1571107250679003E-14</v>
      </c>
      <c r="D466" s="14">
        <v>-0.54904587599188359</v>
      </c>
      <c r="F466" s="18">
        <f t="shared" si="15"/>
        <v>9240</v>
      </c>
      <c r="G466" s="14">
        <v>2.2954868855157791E-26</v>
      </c>
    </row>
    <row r="467" spans="1:7" x14ac:dyDescent="0.55000000000000004">
      <c r="A467" s="8">
        <f t="shared" si="14"/>
        <v>2.315000000000015E-2</v>
      </c>
      <c r="B467" s="8" cm="1">
        <f t="array" ref="B467">FAM(A467)</f>
        <v>-0.38025176250541426</v>
      </c>
      <c r="C467" s="14">
        <v>-5.7308705370554298E-15</v>
      </c>
      <c r="D467" s="14">
        <v>-0.38025176250541426</v>
      </c>
      <c r="F467" s="18">
        <f t="shared" si="15"/>
        <v>9260</v>
      </c>
      <c r="G467" s="14">
        <v>2.0472844332683487E-26</v>
      </c>
    </row>
    <row r="468" spans="1:7" x14ac:dyDescent="0.55000000000000004">
      <c r="A468" s="8">
        <f t="shared" si="14"/>
        <v>2.3200000000000151E-2</v>
      </c>
      <c r="B468" s="8" cm="1">
        <f t="array" ref="B468">FAM(A468)</f>
        <v>1.0482064320079563E-12</v>
      </c>
      <c r="C468" s="14">
        <v>-1.1474878630653061E-14</v>
      </c>
      <c r="D468" s="14">
        <v>1.0481857725204799E-12</v>
      </c>
      <c r="F468" s="18">
        <f t="shared" si="15"/>
        <v>9280</v>
      </c>
      <c r="G468" s="14">
        <v>2.1404392900466798E-26</v>
      </c>
    </row>
    <row r="469" spans="1:7" x14ac:dyDescent="0.55000000000000004">
      <c r="A469" s="8">
        <f t="shared" si="14"/>
        <v>2.3250000000000152E-2</v>
      </c>
      <c r="B469" s="8" cm="1">
        <f t="array" ref="B469">FAM(A469)</f>
        <v>0.36514846109746435</v>
      </c>
      <c r="C469" s="14">
        <v>-5.5337888411036816E-15</v>
      </c>
      <c r="D469" s="14">
        <v>0.36514846109746452</v>
      </c>
      <c r="F469" s="18">
        <f t="shared" si="15"/>
        <v>9300</v>
      </c>
      <c r="G469" s="14">
        <v>2.1320050981388997E-26</v>
      </c>
    </row>
    <row r="470" spans="1:7" x14ac:dyDescent="0.55000000000000004">
      <c r="A470" s="8">
        <f t="shared" si="14"/>
        <v>2.3300000000000154E-2</v>
      </c>
      <c r="B470" s="8" cm="1">
        <f t="array" ref="B470">FAM(A470)</f>
        <v>0.50639575090834432</v>
      </c>
      <c r="C470" s="14">
        <v>-1.1146612358657374E-14</v>
      </c>
      <c r="D470" s="14">
        <v>0.50639575090834432</v>
      </c>
      <c r="F470" s="18">
        <f t="shared" si="15"/>
        <v>9320</v>
      </c>
      <c r="G470" s="14">
        <v>2.1198134817924098E-26</v>
      </c>
    </row>
    <row r="471" spans="1:7" x14ac:dyDescent="0.55000000000000004">
      <c r="A471" s="8">
        <f t="shared" si="14"/>
        <v>2.3350000000000155E-2</v>
      </c>
      <c r="B471" s="8" cm="1">
        <f t="array" ref="B471">FAM(A471)</f>
        <v>0.35135221625026197</v>
      </c>
      <c r="C471" s="14">
        <v>-5.412293349505428E-15</v>
      </c>
      <c r="D471" s="14">
        <v>0.35135221625026214</v>
      </c>
      <c r="F471" s="18">
        <f t="shared" si="15"/>
        <v>9340</v>
      </c>
      <c r="G471" s="14">
        <v>2.2595614985353472E-26</v>
      </c>
    </row>
    <row r="472" spans="1:7" x14ac:dyDescent="0.55000000000000004">
      <c r="A472" s="8">
        <f t="shared" si="14"/>
        <v>2.3400000000000157E-2</v>
      </c>
      <c r="B472" s="8" cm="1">
        <f t="array" ref="B472">FAM(A472)</f>
        <v>-1.0208973741306353E-12</v>
      </c>
      <c r="C472" s="14">
        <v>-1.1489269418009233E-14</v>
      </c>
      <c r="D472" s="14">
        <v>-1.020889240416007E-12</v>
      </c>
      <c r="F472" s="18">
        <f t="shared" si="15"/>
        <v>9360</v>
      </c>
      <c r="G472" s="14">
        <v>2.2068083573372978E-26</v>
      </c>
    </row>
    <row r="473" spans="1:7" x14ac:dyDescent="0.55000000000000004">
      <c r="A473" s="8">
        <f t="shared" si="14"/>
        <v>2.3450000000000158E-2</v>
      </c>
      <c r="B473" s="8" cm="1">
        <f t="array" ref="B473">FAM(A473)</f>
        <v>-0.33902999549354146</v>
      </c>
      <c r="C473" s="14">
        <v>-6.1347432075375756E-15</v>
      </c>
      <c r="D473" s="14">
        <v>-0.33902999549354151</v>
      </c>
      <c r="F473" s="18">
        <f t="shared" si="15"/>
        <v>9380</v>
      </c>
      <c r="G473" s="14">
        <v>1.9675502838710078E-26</v>
      </c>
    </row>
    <row r="474" spans="1:7" x14ac:dyDescent="0.55000000000000004">
      <c r="A474" s="8">
        <f t="shared" si="14"/>
        <v>2.350000000000016E-2</v>
      </c>
      <c r="B474" s="8" cm="1">
        <f t="array" ref="B474">FAM(A474)</f>
        <v>-0.47159209561593834</v>
      </c>
      <c r="C474" s="14">
        <v>-1.1423955147165708E-14</v>
      </c>
      <c r="D474" s="14">
        <v>-0.47159209561593823</v>
      </c>
      <c r="F474" s="18">
        <f t="shared" si="15"/>
        <v>9400</v>
      </c>
      <c r="G474" s="14">
        <v>2.1697213484656975E-26</v>
      </c>
    </row>
    <row r="475" spans="1:7" x14ac:dyDescent="0.55000000000000004">
      <c r="A475" s="8">
        <f t="shared" si="14"/>
        <v>2.3550000000000161E-2</v>
      </c>
      <c r="B475" s="8" cm="1">
        <f t="array" ref="B475">FAM(A475)</f>
        <v>-0.32831983980499457</v>
      </c>
      <c r="C475" s="14">
        <v>-5.9268641381837963E-15</v>
      </c>
      <c r="D475" s="14">
        <v>-0.32831983980499468</v>
      </c>
      <c r="F475" s="18">
        <f t="shared" si="15"/>
        <v>9420</v>
      </c>
      <c r="G475" s="14">
        <v>2.1868674408883627E-26</v>
      </c>
    </row>
    <row r="476" spans="1:7" x14ac:dyDescent="0.55000000000000004">
      <c r="A476" s="8">
        <f t="shared" si="14"/>
        <v>2.3600000000000163E-2</v>
      </c>
      <c r="B476" s="8" cm="1">
        <f t="array" ref="B476">FAM(A476)</f>
        <v>1.0046854717142032E-12</v>
      </c>
      <c r="C476" s="14">
        <v>-1.1001635765307162E-14</v>
      </c>
      <c r="D476" s="14">
        <v>1.0046733132961069E-12</v>
      </c>
      <c r="F476" s="18">
        <f t="shared" si="15"/>
        <v>9440</v>
      </c>
      <c r="G476" s="14">
        <v>2.1821759467957206E-26</v>
      </c>
    </row>
    <row r="477" spans="1:7" x14ac:dyDescent="0.55000000000000004">
      <c r="A477" s="8">
        <f t="shared" si="14"/>
        <v>2.3650000000000164E-2</v>
      </c>
      <c r="B477" s="8" cm="1">
        <f t="array" ref="B477">FAM(A477)</f>
        <v>0.31932890878686354</v>
      </c>
      <c r="C477" s="14">
        <v>-5.8836748215784392E-15</v>
      </c>
      <c r="D477" s="14">
        <v>0.31932890878686354</v>
      </c>
      <c r="F477" s="18">
        <f t="shared" si="15"/>
        <v>9460</v>
      </c>
      <c r="G477" s="14">
        <v>2.3550655572328692E-26</v>
      </c>
    </row>
    <row r="478" spans="1:7" x14ac:dyDescent="0.55000000000000004">
      <c r="A478" s="8">
        <f t="shared" si="14"/>
        <v>2.3700000000000165E-2</v>
      </c>
      <c r="B478" s="8" cm="1">
        <f t="array" ref="B478">FAM(A478)</f>
        <v>0.44618837979861353</v>
      </c>
      <c r="C478" s="14">
        <v>-1.0743386261588101E-14</v>
      </c>
      <c r="D478" s="14">
        <v>0.44618837979861353</v>
      </c>
      <c r="F478" s="18">
        <f t="shared" si="15"/>
        <v>9480</v>
      </c>
      <c r="G478" s="14">
        <v>2.0207295988614478E-26</v>
      </c>
    </row>
    <row r="479" spans="1:7" x14ac:dyDescent="0.55000000000000004">
      <c r="A479" s="8">
        <f t="shared" si="14"/>
        <v>2.3750000000000167E-2</v>
      </c>
      <c r="B479" s="8" cm="1">
        <f t="array" ref="B479">FAM(A479)</f>
        <v>0.31213203435526377</v>
      </c>
      <c r="C479" s="14">
        <v>-5.7699310521515756E-15</v>
      </c>
      <c r="D479" s="14">
        <v>0.31213203435526393</v>
      </c>
      <c r="F479" s="18">
        <f t="shared" si="15"/>
        <v>9500</v>
      </c>
      <c r="G479" s="14">
        <v>2.1474417787592544E-26</v>
      </c>
    </row>
    <row r="480" spans="1:7" x14ac:dyDescent="0.55000000000000004">
      <c r="A480" s="8">
        <f t="shared" si="14"/>
        <v>2.3800000000000168E-2</v>
      </c>
      <c r="B480" s="8" cm="1">
        <f t="array" ref="B480">FAM(A480)</f>
        <v>-9.8017330634128829E-13</v>
      </c>
      <c r="C480" s="14">
        <v>-1.0721512461441121E-14</v>
      </c>
      <c r="D480" s="14">
        <v>-9.8017304040561608E-13</v>
      </c>
      <c r="F480" s="18">
        <f t="shared" si="15"/>
        <v>9520</v>
      </c>
      <c r="G480" s="14">
        <v>2.1559888509851067E-26</v>
      </c>
    </row>
    <row r="481" spans="1:7" x14ac:dyDescent="0.55000000000000004">
      <c r="A481" s="8">
        <f t="shared" si="14"/>
        <v>2.385000000000017E-2</v>
      </c>
      <c r="B481" s="8" cm="1">
        <f t="array" ref="B481">FAM(A481)</f>
        <v>-0.30677080488099201</v>
      </c>
      <c r="C481" s="14">
        <v>-5.864451270444392E-15</v>
      </c>
      <c r="D481" s="14">
        <v>-0.30677080488099207</v>
      </c>
      <c r="F481" s="18">
        <f t="shared" si="15"/>
        <v>9540</v>
      </c>
      <c r="G481" s="14">
        <v>2.1635239254634612E-26</v>
      </c>
    </row>
    <row r="482" spans="1:7" x14ac:dyDescent="0.55000000000000004">
      <c r="A482" s="8">
        <f t="shared" si="14"/>
        <v>2.3900000000000171E-2</v>
      </c>
      <c r="B482" s="8" cm="1">
        <f t="array" ref="B482">FAM(A482)</f>
        <v>-0.43102734780399288</v>
      </c>
      <c r="C482" s="14">
        <v>-1.0530586958519551E-14</v>
      </c>
      <c r="D482" s="14">
        <v>-0.43102734780399282</v>
      </c>
      <c r="F482" s="18">
        <f t="shared" si="15"/>
        <v>9560</v>
      </c>
      <c r="G482" s="14">
        <v>2.2885487039012875E-26</v>
      </c>
    </row>
    <row r="483" spans="1:7" x14ac:dyDescent="0.55000000000000004">
      <c r="A483" s="8">
        <f t="shared" si="14"/>
        <v>2.3950000000000173E-2</v>
      </c>
      <c r="B483" s="8" cm="1">
        <f t="array" ref="B483">FAM(A483)</f>
        <v>-0.30325319309215265</v>
      </c>
      <c r="C483" s="14">
        <v>-5.7217257767515023E-15</v>
      </c>
      <c r="D483" s="14">
        <v>-0.30325319309215271</v>
      </c>
      <c r="F483" s="38">
        <f t="shared" si="15"/>
        <v>9580</v>
      </c>
      <c r="G483" s="14">
        <v>2.2817161611329778E-26</v>
      </c>
    </row>
    <row r="484" spans="1:7" x14ac:dyDescent="0.55000000000000004">
      <c r="A484" s="8">
        <f t="shared" si="14"/>
        <v>2.4000000000000174E-2</v>
      </c>
      <c r="B484" s="8" cm="1">
        <f t="array" ref="B484">FAM(A484)</f>
        <v>1.001829251000177E-12</v>
      </c>
      <c r="C484" s="14">
        <v>-1.0748788163907482E-14</v>
      </c>
      <c r="D484" s="14">
        <v>1.001826874328769E-12</v>
      </c>
      <c r="F484" s="18">
        <f t="shared" si="15"/>
        <v>9600</v>
      </c>
      <c r="G484" s="14">
        <v>1.8223808452019752E-26</v>
      </c>
    </row>
    <row r="485" spans="1:7" x14ac:dyDescent="0.55000000000000004">
      <c r="A485" s="8">
        <f t="shared" si="14"/>
        <v>2.4050000000000175E-2</v>
      </c>
      <c r="B485" s="8" cm="1">
        <f t="array" ref="B485">FAM(A485)</f>
        <v>0.30155373257640744</v>
      </c>
      <c r="C485" s="14">
        <v>-5.951242364678187E-15</v>
      </c>
      <c r="D485" s="14">
        <v>0.30155373257640772</v>
      </c>
      <c r="F485" s="18">
        <f t="shared" si="15"/>
        <v>9620</v>
      </c>
      <c r="G485" s="14">
        <v>1.4405229185738439E-26</v>
      </c>
    </row>
    <row r="486" spans="1:7" x14ac:dyDescent="0.55000000000000004">
      <c r="A486" s="8">
        <f t="shared" si="14"/>
        <v>2.4100000000000177E-2</v>
      </c>
      <c r="B486" s="8" cm="1">
        <f t="array" ref="B486">FAM(A486)</f>
        <v>0.42619994850259557</v>
      </c>
      <c r="C486" s="14">
        <v>-1.0365161249724812E-14</v>
      </c>
      <c r="D486" s="14">
        <v>0.42619994850259574</v>
      </c>
      <c r="F486" s="18">
        <f t="shared" si="15"/>
        <v>9640</v>
      </c>
      <c r="G486" s="14">
        <v>2.182672469846347E-26</v>
      </c>
    </row>
    <row r="487" spans="1:7" x14ac:dyDescent="0.55000000000000004">
      <c r="A487" s="8">
        <f t="shared" si="14"/>
        <v>2.4150000000000178E-2</v>
      </c>
      <c r="B487" s="8" cm="1">
        <f t="array" ref="B487">FAM(A487)</f>
        <v>0.3016142388173052</v>
      </c>
      <c r="C487" s="14">
        <v>-6.0362292770791975E-15</v>
      </c>
      <c r="D487" s="14">
        <v>0.30161423881730537</v>
      </c>
      <c r="F487" s="18">
        <f t="shared" si="15"/>
        <v>9660</v>
      </c>
      <c r="G487" s="14">
        <v>2.523172196641346E-26</v>
      </c>
    </row>
    <row r="488" spans="1:7" x14ac:dyDescent="0.55000000000000004">
      <c r="A488" s="8">
        <f t="shared" si="14"/>
        <v>2.420000000000018E-2</v>
      </c>
      <c r="B488" s="8" cm="1">
        <f t="array" ref="B488">FAM(A488)</f>
        <v>-1.0461469391781487E-12</v>
      </c>
      <c r="C488" s="14">
        <v>-1.0349238823970542E-14</v>
      </c>
      <c r="D488" s="14">
        <v>-1.0461540815763731E-12</v>
      </c>
      <c r="F488" s="18">
        <f t="shared" si="15"/>
        <v>9680</v>
      </c>
      <c r="G488" s="14">
        <v>2.2911196439206892E-26</v>
      </c>
    </row>
    <row r="489" spans="1:7" x14ac:dyDescent="0.55000000000000004">
      <c r="A489" s="8">
        <f t="shared" si="14"/>
        <v>2.4250000000000181E-2</v>
      </c>
      <c r="B489" s="8" cm="1">
        <f t="array" ref="B489">FAM(A489)</f>
        <v>-0.30334506222251162</v>
      </c>
      <c r="C489" s="14">
        <v>-5.8398238719126789E-15</v>
      </c>
      <c r="D489" s="14">
        <v>-0.30334506222251162</v>
      </c>
      <c r="F489" s="18">
        <f t="shared" si="15"/>
        <v>9700</v>
      </c>
      <c r="G489" s="14">
        <v>2.3179946859244569E-26</v>
      </c>
    </row>
    <row r="490" spans="1:7" x14ac:dyDescent="0.55000000000000004">
      <c r="A490" s="8">
        <f t="shared" si="14"/>
        <v>2.4300000000000183E-2</v>
      </c>
      <c r="B490" s="8" cm="1">
        <f t="array" ref="B490">FAM(A490)</f>
        <v>-0.43105320975786404</v>
      </c>
      <c r="C490" s="14">
        <v>-1.014600933406356E-14</v>
      </c>
      <c r="D490" s="14">
        <v>-0.43105320975786404</v>
      </c>
      <c r="F490" s="18">
        <f t="shared" si="15"/>
        <v>9720</v>
      </c>
      <c r="G490" s="14">
        <v>2.3210297383415199E-26</v>
      </c>
    </row>
    <row r="491" spans="1:7" x14ac:dyDescent="0.55000000000000004">
      <c r="A491" s="8">
        <f t="shared" si="14"/>
        <v>2.4350000000000184E-2</v>
      </c>
      <c r="B491" s="8" cm="1">
        <f t="array" ref="B491">FAM(A491)</f>
        <v>-0.30662685196847739</v>
      </c>
      <c r="C491" s="14">
        <v>-5.9106404335708018E-15</v>
      </c>
      <c r="D491" s="14">
        <v>-0.30662685196847739</v>
      </c>
      <c r="F491" s="18">
        <f t="shared" si="15"/>
        <v>9740</v>
      </c>
      <c r="G491" s="14">
        <v>2.2097233009313505E-26</v>
      </c>
    </row>
    <row r="492" spans="1:7" x14ac:dyDescent="0.55000000000000004">
      <c r="A492" s="8">
        <f t="shared" si="14"/>
        <v>2.4400000000000185E-2</v>
      </c>
      <c r="B492" s="8" cm="1">
        <f t="array" ref="B492">FAM(A492)</f>
        <v>1.0888518843307391E-12</v>
      </c>
      <c r="C492" s="14">
        <v>-1.004241980650868E-14</v>
      </c>
      <c r="D492" s="14">
        <v>1.088858046806978E-12</v>
      </c>
      <c r="F492" s="18">
        <f t="shared" si="15"/>
        <v>9760</v>
      </c>
      <c r="G492" s="14">
        <v>2.0310609773862504E-26</v>
      </c>
    </row>
    <row r="493" spans="1:7" x14ac:dyDescent="0.55000000000000004">
      <c r="A493" s="8">
        <f t="shared" si="14"/>
        <v>2.4450000000000187E-2</v>
      </c>
      <c r="B493" s="8" cm="1">
        <f t="array" ref="B493">FAM(A493)</f>
        <v>0.31131280155570462</v>
      </c>
      <c r="C493" s="14">
        <v>-5.6931796043348885E-15</v>
      </c>
      <c r="D493" s="14">
        <v>0.31131280155570468</v>
      </c>
      <c r="F493" s="18">
        <f t="shared" si="15"/>
        <v>9780</v>
      </c>
      <c r="G493" s="14">
        <v>2.2700442336539407E-26</v>
      </c>
    </row>
    <row r="494" spans="1:7" x14ac:dyDescent="0.55000000000000004">
      <c r="A494" s="8">
        <f t="shared" si="14"/>
        <v>2.4500000000000188E-2</v>
      </c>
      <c r="B494" s="8" cm="1">
        <f t="array" ref="B494">FAM(A494)</f>
        <v>0.44424634841650851</v>
      </c>
      <c r="C494" s="14">
        <v>-1.0071584611917294E-14</v>
      </c>
      <c r="D494" s="14">
        <v>0.44424634841650856</v>
      </c>
      <c r="F494" s="18">
        <f t="shared" si="15"/>
        <v>9800</v>
      </c>
      <c r="G494" s="14">
        <v>2.2015508615290364E-26</v>
      </c>
    </row>
    <row r="495" spans="1:7" x14ac:dyDescent="0.55000000000000004">
      <c r="A495" s="8">
        <f t="shared" si="14"/>
        <v>2.455000000000019E-2</v>
      </c>
      <c r="B495" s="8" cm="1">
        <f t="array" ref="B495">FAM(A495)</f>
        <v>0.31723133913246337</v>
      </c>
      <c r="C495" s="14">
        <v>-5.9282773257887267E-15</v>
      </c>
      <c r="D495" s="14">
        <v>0.31723133913246349</v>
      </c>
      <c r="F495" s="18">
        <f t="shared" si="15"/>
        <v>9820</v>
      </c>
      <c r="G495" s="14">
        <v>2.1791808790892061E-26</v>
      </c>
    </row>
    <row r="496" spans="1:7" x14ac:dyDescent="0.55000000000000004">
      <c r="A496" s="8">
        <f t="shared" si="14"/>
        <v>2.4600000000000191E-2</v>
      </c>
      <c r="B496" s="8" cm="1">
        <f t="array" ref="B496">FAM(A496)</f>
        <v>-1.1770755254924232E-12</v>
      </c>
      <c r="C496" s="14">
        <v>-1.0160662953762455E-14</v>
      </c>
      <c r="D496" s="14">
        <v>-1.1770873622325396E-12</v>
      </c>
      <c r="F496" s="18">
        <f t="shared" si="15"/>
        <v>9840</v>
      </c>
      <c r="G496" s="14">
        <v>2.1702850514791168E-26</v>
      </c>
    </row>
    <row r="497" spans="1:7" x14ac:dyDescent="0.55000000000000004">
      <c r="A497" s="8">
        <f t="shared" si="14"/>
        <v>2.4650000000000193E-2</v>
      </c>
      <c r="B497" s="8" cm="1">
        <f t="array" ref="B497">FAM(A497)</f>
        <v>-0.32418921877554463</v>
      </c>
      <c r="C497" s="14">
        <v>-6.0966207755401732E-15</v>
      </c>
      <c r="D497" s="14">
        <v>-0.32418921877554469</v>
      </c>
      <c r="F497" s="18">
        <f t="shared" si="15"/>
        <v>9860</v>
      </c>
      <c r="G497" s="14">
        <v>2.081772711739909E-26</v>
      </c>
    </row>
    <row r="498" spans="1:7" x14ac:dyDescent="0.55000000000000004">
      <c r="A498" s="8">
        <f t="shared" si="14"/>
        <v>2.4700000000000194E-2</v>
      </c>
      <c r="B498" s="8" cm="1">
        <f t="array" ref="B498">FAM(A498)</f>
        <v>-0.46385135238022779</v>
      </c>
      <c r="C498" s="14">
        <v>-9.919012042880303E-15</v>
      </c>
      <c r="D498" s="14">
        <v>-0.46385135238022784</v>
      </c>
      <c r="F498" s="18">
        <f t="shared" si="15"/>
        <v>9880</v>
      </c>
      <c r="G498" s="14">
        <v>2.1405998457571052E-26</v>
      </c>
    </row>
    <row r="499" spans="1:7" x14ac:dyDescent="0.55000000000000004">
      <c r="A499" s="8">
        <f t="shared" si="14"/>
        <v>2.4750000000000195E-2</v>
      </c>
      <c r="B499" s="8" cm="1">
        <f t="array" ref="B499">FAM(A499)</f>
        <v>-0.3319749623557654</v>
      </c>
      <c r="C499" s="14">
        <v>-6.0199029125446713E-15</v>
      </c>
      <c r="D499" s="14">
        <v>-0.33197496235576535</v>
      </c>
      <c r="F499" s="18">
        <f t="shared" si="15"/>
        <v>9900</v>
      </c>
      <c r="G499" s="14">
        <v>2.0853414486205833E-26</v>
      </c>
    </row>
    <row r="500" spans="1:7" x14ac:dyDescent="0.55000000000000004">
      <c r="A500" s="8">
        <f t="shared" si="14"/>
        <v>2.4800000000000197E-2</v>
      </c>
      <c r="B500" s="8" cm="1">
        <f t="array" ref="B500">FAM(A500)</f>
        <v>1.2829537315775878E-12</v>
      </c>
      <c r="C500" s="14">
        <v>-9.5844366446500445E-15</v>
      </c>
      <c r="D500" s="14">
        <v>1.2829650897490424E-12</v>
      </c>
      <c r="F500" s="18">
        <f t="shared" si="15"/>
        <v>9920</v>
      </c>
      <c r="G500" s="14">
        <v>2.0844667076797292E-26</v>
      </c>
    </row>
    <row r="501" spans="1:7" x14ac:dyDescent="0.55000000000000004">
      <c r="A501" s="8">
        <f t="shared" si="14"/>
        <v>2.4850000000000198E-2</v>
      </c>
      <c r="B501" s="8" cm="1">
        <f t="array" ref="B501">FAM(A501)</f>
        <v>0.34036259625468285</v>
      </c>
      <c r="C501" s="14">
        <v>-5.9337404054031505E-15</v>
      </c>
      <c r="D501" s="14">
        <v>0.34036259625468301</v>
      </c>
      <c r="F501" s="18">
        <f t="shared" si="15"/>
        <v>9940</v>
      </c>
      <c r="G501" s="14">
        <v>2.3009769418442104E-26</v>
      </c>
    </row>
    <row r="502" spans="1:7" x14ac:dyDescent="0.55000000000000004">
      <c r="A502" s="8">
        <f t="shared" si="14"/>
        <v>2.49000000000002E-2</v>
      </c>
      <c r="B502" s="8" cm="1">
        <f t="array" ref="B502">FAM(A502)</f>
        <v>0.4874914571930235</v>
      </c>
      <c r="C502" s="14">
        <v>-9.7987887771401207E-15</v>
      </c>
      <c r="D502" s="14">
        <v>0.48749145719302345</v>
      </c>
      <c r="F502" s="18">
        <f t="shared" si="15"/>
        <v>9960</v>
      </c>
      <c r="G502" s="14">
        <v>2.1952843442589913E-26</v>
      </c>
    </row>
    <row r="503" spans="1:7" x14ac:dyDescent="0.55000000000000004">
      <c r="A503" s="8">
        <f t="shared" si="14"/>
        <v>2.4950000000000201E-2</v>
      </c>
      <c r="B503" s="8" cm="1">
        <f t="array" ref="B503">FAM(A503)</f>
        <v>0.34911562231091148</v>
      </c>
      <c r="C503" s="15">
        <v>-5.9724848552764156E-15</v>
      </c>
      <c r="D503" s="15">
        <v>0.34911562231091159</v>
      </c>
      <c r="F503" s="19">
        <f t="shared" si="15"/>
        <v>9980</v>
      </c>
      <c r="G503" s="15">
        <v>2.1127394172657625E-26</v>
      </c>
    </row>
    <row r="504" spans="1:7" x14ac:dyDescent="0.55000000000000004">
      <c r="A504" s="4">
        <f t="shared" si="14"/>
        <v>2.5000000000000203E-2</v>
      </c>
      <c r="B504" s="4" cm="1">
        <f t="array" ref="B504">FAM(A504)</f>
        <v>-1.40099693114979E-12</v>
      </c>
      <c r="C504" s="13">
        <v>-9.492850949754939E-15</v>
      </c>
      <c r="D504" s="13">
        <v>-1.4010092246053555E-12</v>
      </c>
      <c r="F504" s="19">
        <f t="shared" si="15"/>
        <v>10000</v>
      </c>
      <c r="G504" s="15">
        <v>1.1070944859876663E-26</v>
      </c>
    </row>
    <row r="505" spans="1:7" x14ac:dyDescent="0.55000000000000004">
      <c r="A505" s="8">
        <f t="shared" si="14"/>
        <v>2.5050000000000204E-2</v>
      </c>
      <c r="B505" s="8" cm="1">
        <f t="array" ref="B505">FAM(A505)</f>
        <v>-0.35799115887571042</v>
      </c>
      <c r="C505" s="14">
        <v>-5.8413761662096466E-15</v>
      </c>
      <c r="D505" s="14">
        <v>-0.35799115887571042</v>
      </c>
    </row>
    <row r="506" spans="1:7" x14ac:dyDescent="0.55000000000000004">
      <c r="A506" s="8">
        <f t="shared" si="14"/>
        <v>2.5100000000000205E-2</v>
      </c>
      <c r="B506" s="8" cm="1">
        <f t="array" ref="B506">FAM(A506)</f>
        <v>-0.51250854280702041</v>
      </c>
      <c r="C506" s="14">
        <v>-9.6759356400163555E-15</v>
      </c>
      <c r="D506" s="14">
        <v>-0.5125085428070203</v>
      </c>
    </row>
    <row r="507" spans="1:7" x14ac:dyDescent="0.55000000000000004">
      <c r="A507" s="8">
        <f t="shared" si="14"/>
        <v>2.5150000000000207E-2</v>
      </c>
      <c r="B507" s="8" cm="1">
        <f t="array" ref="B507">FAM(A507)</f>
        <v>-0.36674418493178751</v>
      </c>
      <c r="C507" s="14">
        <v>-6.0997759729488431E-15</v>
      </c>
      <c r="D507" s="14">
        <v>-0.36674418493178745</v>
      </c>
    </row>
    <row r="508" spans="1:7" x14ac:dyDescent="0.55000000000000004">
      <c r="A508" s="8">
        <f t="shared" si="14"/>
        <v>2.5200000000000208E-2</v>
      </c>
      <c r="B508" s="8" cm="1">
        <f t="array" ref="B508">FAM(A508)</f>
        <v>1.49429368587153E-12</v>
      </c>
      <c r="C508" s="14">
        <v>-9.63889088547909E-15</v>
      </c>
      <c r="D508" s="14">
        <v>1.494305736848413E-12</v>
      </c>
    </row>
    <row r="509" spans="1:7" x14ac:dyDescent="0.55000000000000004">
      <c r="A509" s="8">
        <f t="shared" si="14"/>
        <v>2.525000000000021E-2</v>
      </c>
      <c r="B509" s="8" cm="1">
        <f t="array" ref="B509">FAM(A509)</f>
        <v>0.37513181883100144</v>
      </c>
      <c r="C509" s="14">
        <v>-6.1765894424313227E-15</v>
      </c>
      <c r="D509" s="14">
        <v>0.37513181883100161</v>
      </c>
    </row>
    <row r="510" spans="1:7" x14ac:dyDescent="0.55000000000000004">
      <c r="A510" s="8">
        <f t="shared" si="14"/>
        <v>2.5300000000000211E-2</v>
      </c>
      <c r="B510" s="8" cm="1">
        <f t="array" ref="B510">FAM(A510)</f>
        <v>0.53614864761981096</v>
      </c>
      <c r="C510" s="14">
        <v>-9.1838516608718152E-15</v>
      </c>
      <c r="D510" s="14">
        <v>0.53614864761981096</v>
      </c>
    </row>
    <row r="511" spans="1:7" x14ac:dyDescent="0.55000000000000004">
      <c r="A511" s="8">
        <f t="shared" si="14"/>
        <v>2.5350000000000213E-2</v>
      </c>
      <c r="B511" s="8" cm="1">
        <f t="array" ref="B511">FAM(A511)</f>
        <v>0.38291756241075903</v>
      </c>
      <c r="C511" s="14">
        <v>-5.8340124837138055E-15</v>
      </c>
      <c r="D511" s="14">
        <v>0.38291756241075919</v>
      </c>
    </row>
    <row r="512" spans="1:7" x14ac:dyDescent="0.55000000000000004">
      <c r="A512" s="8">
        <f t="shared" si="14"/>
        <v>2.5400000000000214E-2</v>
      </c>
      <c r="B512" s="8" cm="1">
        <f t="array" ref="B512">FAM(A512)</f>
        <v>-1.6130339717887442E-12</v>
      </c>
      <c r="C512" s="14">
        <v>-9.1767634658414099E-15</v>
      </c>
      <c r="D512" s="14">
        <v>-1.6130420913038912E-12</v>
      </c>
    </row>
    <row r="513" spans="1:4" x14ac:dyDescent="0.55000000000000004">
      <c r="A513" s="8">
        <f t="shared" si="14"/>
        <v>2.5450000000000216E-2</v>
      </c>
      <c r="B513" s="8" cm="1">
        <f t="array" ref="B513">FAM(A513)</f>
        <v>-0.38987544205445213</v>
      </c>
      <c r="C513" s="14">
        <v>-6.0805768429036247E-15</v>
      </c>
      <c r="D513" s="14">
        <v>-0.38987544205445218</v>
      </c>
    </row>
    <row r="514" spans="1:4" x14ac:dyDescent="0.55000000000000004">
      <c r="A514" s="8">
        <f t="shared" si="14"/>
        <v>2.5500000000000217E-2</v>
      </c>
      <c r="B514" s="8" cm="1">
        <f t="array" ref="B514">FAM(A514)</f>
        <v>-0.55575365158352097</v>
      </c>
      <c r="C514" s="14">
        <v>-9.2635642945951055E-15</v>
      </c>
      <c r="D514" s="14">
        <v>-0.55575365158352097</v>
      </c>
    </row>
    <row r="515" spans="1:4" x14ac:dyDescent="0.55000000000000004">
      <c r="A515" s="8">
        <f t="shared" si="14"/>
        <v>2.5550000000000218E-2</v>
      </c>
      <c r="B515" s="8" cm="1">
        <f t="array" ref="B515">FAM(A515)</f>
        <v>-0.39579397963044732</v>
      </c>
      <c r="C515" s="14">
        <v>-5.754464997133281E-15</v>
      </c>
      <c r="D515" s="14">
        <v>-0.39579397963044738</v>
      </c>
    </row>
    <row r="516" spans="1:4" x14ac:dyDescent="0.55000000000000004">
      <c r="A516" s="8">
        <f t="shared" si="14"/>
        <v>2.560000000000022E-2</v>
      </c>
      <c r="B516" s="8" cm="1">
        <f t="array" ref="B516">FAM(A516)</f>
        <v>1.720197183803172E-12</v>
      </c>
      <c r="C516" s="14">
        <v>-8.9613306707816924E-15</v>
      </c>
      <c r="D516" s="14">
        <v>1.7202054855924103E-12</v>
      </c>
    </row>
    <row r="517" spans="1:4" x14ac:dyDescent="0.55000000000000004">
      <c r="A517" s="8">
        <f t="shared" si="14"/>
        <v>2.5650000000000221E-2</v>
      </c>
      <c r="B517" s="8" cm="1">
        <f t="array" ref="B517">FAM(A517)</f>
        <v>0.40047992921854358</v>
      </c>
      <c r="C517" s="14">
        <v>-6.1203587890507315E-15</v>
      </c>
      <c r="D517" s="14">
        <v>0.40047992921854381</v>
      </c>
    </row>
    <row r="518" spans="1:4" x14ac:dyDescent="0.55000000000000004">
      <c r="A518" s="8">
        <f t="shared" ref="A518:A581" si="16">A517+0.00005</f>
        <v>2.5700000000000223E-2</v>
      </c>
      <c r="B518" s="8" cm="1">
        <f t="array" ref="B518">FAM(A518)</f>
        <v>0.56894679024215256</v>
      </c>
      <c r="C518" s="14">
        <v>-9.3644362974768791E-15</v>
      </c>
      <c r="D518" s="14">
        <v>0.56894679024215244</v>
      </c>
    </row>
    <row r="519" spans="1:4" x14ac:dyDescent="0.55000000000000004">
      <c r="A519" s="8">
        <f t="shared" si="16"/>
        <v>2.5750000000000224E-2</v>
      </c>
      <c r="B519" s="8" cm="1">
        <f t="array" ref="B519">FAM(A519)</f>
        <v>0.40376171896353075</v>
      </c>
      <c r="C519" s="14">
        <v>-6.1749332948346782E-15</v>
      </c>
      <c r="D519" s="14">
        <v>0.4037617189635308</v>
      </c>
    </row>
    <row r="520" spans="1:4" x14ac:dyDescent="0.55000000000000004">
      <c r="A520" s="8">
        <f t="shared" si="16"/>
        <v>2.5800000000000226E-2</v>
      </c>
      <c r="B520" s="8" cm="1">
        <f t="array" ref="B520">FAM(A520)</f>
        <v>-1.7747570777206277E-12</v>
      </c>
      <c r="C520" s="14">
        <v>-8.8940240621650053E-15</v>
      </c>
      <c r="D520" s="14">
        <v>-1.7747572450415192E-12</v>
      </c>
    </row>
    <row r="521" spans="1:4" x14ac:dyDescent="0.55000000000000004">
      <c r="A521" s="8">
        <f t="shared" si="16"/>
        <v>2.5850000000000227E-2</v>
      </c>
      <c r="B521" s="8" cm="1">
        <f t="array" ref="B521">FAM(A521)</f>
        <v>-0.4054925423697826</v>
      </c>
      <c r="C521" s="14">
        <v>-6.0430762797192857E-15</v>
      </c>
      <c r="D521" s="14">
        <v>-0.40549254236978266</v>
      </c>
    </row>
    <row r="522" spans="1:4" x14ac:dyDescent="0.55000000000000004">
      <c r="A522" s="8">
        <f t="shared" si="16"/>
        <v>2.5900000000000228E-2</v>
      </c>
      <c r="B522" s="8" cm="1">
        <f t="array" ref="B522">FAM(A522)</f>
        <v>-0.57380005149740476</v>
      </c>
      <c r="C522" s="14">
        <v>-8.7065709224236257E-15</v>
      </c>
      <c r="D522" s="14">
        <v>-0.57380005149740465</v>
      </c>
    </row>
    <row r="523" spans="1:4" x14ac:dyDescent="0.55000000000000004">
      <c r="A523" s="8">
        <f t="shared" si="16"/>
        <v>2.595000000000023E-2</v>
      </c>
      <c r="B523" s="8" cm="1">
        <f t="array" ref="B523">FAM(A523)</f>
        <v>-0.40555304860956337</v>
      </c>
      <c r="C523" s="14">
        <v>-6.1344535730291212E-15</v>
      </c>
      <c r="D523" s="14">
        <v>-0.40555304860956326</v>
      </c>
    </row>
    <row r="524" spans="1:4" x14ac:dyDescent="0.55000000000000004">
      <c r="A524" s="8">
        <f t="shared" si="16"/>
        <v>2.6000000000000231E-2</v>
      </c>
      <c r="B524" s="8" cm="1">
        <f t="array" ref="B524">FAM(A524)</f>
        <v>1.8341189074456074E-12</v>
      </c>
      <c r="C524" s="14">
        <v>-9.0292747433680401E-15</v>
      </c>
      <c r="D524" s="14">
        <v>1.8341202696243996E-12</v>
      </c>
    </row>
    <row r="525" spans="1:4" x14ac:dyDescent="0.55000000000000004">
      <c r="A525" s="8">
        <f t="shared" si="16"/>
        <v>2.6050000000000233E-2</v>
      </c>
      <c r="B525" s="8" cm="1">
        <f t="array" ref="B525">FAM(A525)</f>
        <v>0.40385358809498645</v>
      </c>
      <c r="C525" s="14">
        <v>-6.1047582178433874E-15</v>
      </c>
      <c r="D525" s="14">
        <v>0.40385358809498667</v>
      </c>
    </row>
    <row r="526" spans="1:4" x14ac:dyDescent="0.55000000000000004">
      <c r="A526" s="8">
        <f t="shared" si="16"/>
        <v>2.6100000000000234E-2</v>
      </c>
      <c r="B526" s="8" cm="1">
        <f t="array" ref="B526">FAM(A526)</f>
        <v>0.56897265219598947</v>
      </c>
      <c r="C526" s="14">
        <v>-8.4898054021627575E-15</v>
      </c>
      <c r="D526" s="14">
        <v>0.56897265219598958</v>
      </c>
    </row>
    <row r="527" spans="1:4" x14ac:dyDescent="0.55000000000000004">
      <c r="A527" s="8">
        <f t="shared" si="16"/>
        <v>2.6150000000000236E-2</v>
      </c>
      <c r="B527" s="8" cm="1">
        <f t="array" ref="B527">FAM(A527)</f>
        <v>0.40033597630492224</v>
      </c>
      <c r="C527" s="14">
        <v>-5.9884880523624885E-15</v>
      </c>
      <c r="D527" s="14">
        <v>0.40033597630492235</v>
      </c>
    </row>
    <row r="528" spans="1:4" x14ac:dyDescent="0.55000000000000004">
      <c r="A528" s="8">
        <f t="shared" si="16"/>
        <v>2.6200000000000237E-2</v>
      </c>
      <c r="B528" s="8" cm="1">
        <f t="array" ref="B528">FAM(A528)</f>
        <v>-1.8601289106645442E-12</v>
      </c>
      <c r="C528" s="14">
        <v>-8.9189690091444733E-15</v>
      </c>
      <c r="D528" s="14">
        <v>-1.8601192458190107E-12</v>
      </c>
    </row>
    <row r="529" spans="1:4" x14ac:dyDescent="0.55000000000000004">
      <c r="A529" s="8">
        <f t="shared" si="16"/>
        <v>2.6250000000000238E-2</v>
      </c>
      <c r="B529" s="8" cm="1">
        <f t="array" ref="B529">FAM(A529)</f>
        <v>-0.39497474683188594</v>
      </c>
      <c r="C529" s="14">
        <v>-6.1405356930308306E-15</v>
      </c>
      <c r="D529" s="14">
        <v>-0.39497474683188621</v>
      </c>
    </row>
    <row r="530" spans="1:4" x14ac:dyDescent="0.55000000000000004">
      <c r="A530" s="8">
        <f t="shared" si="16"/>
        <v>2.630000000000024E-2</v>
      </c>
      <c r="B530" s="8" cm="1">
        <f t="array" ref="B530">FAM(A530)</f>
        <v>-0.55381162020135044</v>
      </c>
      <c r="C530" s="14">
        <v>-8.7039896106804569E-15</v>
      </c>
      <c r="D530" s="14">
        <v>-0.55381162020135055</v>
      </c>
    </row>
    <row r="531" spans="1:4" x14ac:dyDescent="0.55000000000000004">
      <c r="A531" s="8">
        <f t="shared" si="16"/>
        <v>2.6350000000000241E-2</v>
      </c>
      <c r="B531" s="8" cm="1">
        <f t="array" ref="B531">FAM(A531)</f>
        <v>-0.3877778723990527</v>
      </c>
      <c r="C531" s="14">
        <v>-6.4937856349694689E-15</v>
      </c>
      <c r="D531" s="14">
        <v>-0.38777787239905281</v>
      </c>
    </row>
    <row r="532" spans="1:4" x14ac:dyDescent="0.55000000000000004">
      <c r="A532" s="8">
        <f t="shared" si="16"/>
        <v>2.6400000000000243E-2</v>
      </c>
      <c r="B532" s="8" cm="1">
        <f t="array" ref="B532">FAM(A532)</f>
        <v>1.8486980462210618E-12</v>
      </c>
      <c r="C532" s="14">
        <v>-8.5247833372036015E-15</v>
      </c>
      <c r="D532" s="14">
        <v>1.8486913906260802E-12</v>
      </c>
    </row>
    <row r="533" spans="1:4" x14ac:dyDescent="0.55000000000000004">
      <c r="A533" s="8">
        <f t="shared" si="16"/>
        <v>2.6450000000000244E-2</v>
      </c>
      <c r="B533" s="8" cm="1">
        <f t="array" ref="B533">FAM(A533)</f>
        <v>0.37878694138210622</v>
      </c>
      <c r="C533" s="14">
        <v>-5.8418917132549447E-15</v>
      </c>
      <c r="D533" s="14">
        <v>0.37878694138210628</v>
      </c>
    </row>
    <row r="534" spans="1:4" x14ac:dyDescent="0.55000000000000004">
      <c r="A534" s="8">
        <f t="shared" si="16"/>
        <v>2.6500000000000246E-2</v>
      </c>
      <c r="B534" s="8" cm="1">
        <f t="array" ref="B534">FAM(A534)</f>
        <v>0.52840790438400842</v>
      </c>
      <c r="C534" s="14">
        <v>-8.1893225317215768E-15</v>
      </c>
      <c r="D534" s="14">
        <v>0.5284079043840082</v>
      </c>
    </row>
    <row r="535" spans="1:4" x14ac:dyDescent="0.55000000000000004">
      <c r="A535" s="8">
        <f t="shared" si="16"/>
        <v>2.6550000000000247E-2</v>
      </c>
      <c r="B535" s="8" cm="1">
        <f t="array" ref="B535">FAM(A535)</f>
        <v>0.36807678569242119</v>
      </c>
      <c r="C535" s="14">
        <v>-6.5455673801212393E-15</v>
      </c>
      <c r="D535" s="14">
        <v>0.36807678569242119</v>
      </c>
    </row>
    <row r="536" spans="1:4" x14ac:dyDescent="0.55000000000000004">
      <c r="A536" s="8">
        <f t="shared" si="16"/>
        <v>2.6600000000000248E-2</v>
      </c>
      <c r="B536" s="8" cm="1">
        <f t="array" ref="B536">FAM(A536)</f>
        <v>-1.7691581605490292E-12</v>
      </c>
      <c r="C536" s="14">
        <v>-7.9231178055363896E-15</v>
      </c>
      <c r="D536" s="14">
        <v>-1.7691392624512574E-12</v>
      </c>
    </row>
    <row r="537" spans="1:4" x14ac:dyDescent="0.55000000000000004">
      <c r="A537" s="8">
        <f t="shared" si="16"/>
        <v>2.665000000000025E-2</v>
      </c>
      <c r="B537" s="8" cm="1">
        <f t="array" ref="B537">FAM(A537)</f>
        <v>-0.35575456493675128</v>
      </c>
      <c r="C537" s="14">
        <v>-5.4448200477555195E-15</v>
      </c>
      <c r="D537" s="14">
        <v>-0.35575456493675128</v>
      </c>
    </row>
    <row r="538" spans="1:4" x14ac:dyDescent="0.55000000000000004">
      <c r="A538" s="8">
        <f t="shared" si="16"/>
        <v>2.6700000000000251E-2</v>
      </c>
      <c r="B538" s="8" cm="1">
        <f t="array" ref="B538">FAM(A538)</f>
        <v>-0.49360424909158712</v>
      </c>
      <c r="C538" s="14">
        <v>-8.5249300208789238E-15</v>
      </c>
      <c r="D538" s="14">
        <v>-0.4936042490915869</v>
      </c>
    </row>
    <row r="539" spans="1:4" x14ac:dyDescent="0.55000000000000004">
      <c r="A539" s="8">
        <f t="shared" si="16"/>
        <v>2.6750000000000253E-2</v>
      </c>
      <c r="B539" s="8" cm="1">
        <f t="array" ref="B539">FAM(A539)</f>
        <v>-0.34195832008856036</v>
      </c>
      <c r="C539" s="14">
        <v>-6.5568514281910699E-15</v>
      </c>
      <c r="D539" s="14">
        <v>-0.34195832008856014</v>
      </c>
    </row>
    <row r="540" spans="1:4" x14ac:dyDescent="0.55000000000000004">
      <c r="A540" s="8">
        <f t="shared" si="16"/>
        <v>2.6800000000000254E-2</v>
      </c>
      <c r="B540" s="8" cm="1">
        <f t="array" ref="B540">FAM(A540)</f>
        <v>1.6832423559824864E-12</v>
      </c>
      <c r="C540" s="14">
        <v>-7.7436633946052551E-15</v>
      </c>
      <c r="D540" s="14">
        <v>1.6832290300040474E-12</v>
      </c>
    </row>
    <row r="541" spans="1:4" x14ac:dyDescent="0.55000000000000004">
      <c r="A541" s="8">
        <f t="shared" si="16"/>
        <v>2.6850000000000256E-2</v>
      </c>
      <c r="B541" s="8" cm="1">
        <f t="array" ref="B541">FAM(A541)</f>
        <v>0.32685501868150213</v>
      </c>
      <c r="C541" s="14">
        <v>-5.3525634833417131E-15</v>
      </c>
      <c r="D541" s="14">
        <v>0.32685501868150224</v>
      </c>
    </row>
    <row r="542" spans="1:4" x14ac:dyDescent="0.55000000000000004">
      <c r="A542" s="8">
        <f t="shared" si="16"/>
        <v>2.6900000000000257E-2</v>
      </c>
      <c r="B542" s="8" cm="1">
        <f t="array" ref="B542">FAM(A542)</f>
        <v>0.45095412400803436</v>
      </c>
      <c r="C542" s="14">
        <v>-8.3336589924822076E-15</v>
      </c>
      <c r="D542" s="14">
        <v>0.4509541240080342</v>
      </c>
    </row>
    <row r="543" spans="1:4" x14ac:dyDescent="0.55000000000000004">
      <c r="A543" s="8">
        <f t="shared" si="16"/>
        <v>2.6950000000000258E-2</v>
      </c>
      <c r="B543" s="8" cm="1">
        <f t="array" ref="B543">FAM(A543)</f>
        <v>0.31063812131745383</v>
      </c>
      <c r="C543" s="14">
        <v>-5.7930144887638098E-15</v>
      </c>
      <c r="D543" s="14">
        <v>0.31063812131745389</v>
      </c>
    </row>
    <row r="544" spans="1:4" x14ac:dyDescent="0.55000000000000004">
      <c r="A544" s="8">
        <f t="shared" si="16"/>
        <v>2.700000000000026E-2</v>
      </c>
      <c r="B544" s="8" cm="1">
        <f t="array" ref="B544">FAM(A544)</f>
        <v>-1.5643101868909979E-12</v>
      </c>
      <c r="C544" s="14">
        <v>-8.4336704799111005E-15</v>
      </c>
      <c r="D544" s="14">
        <v>-1.564285097778598E-12</v>
      </c>
    </row>
    <row r="545" spans="1:4" x14ac:dyDescent="0.55000000000000004">
      <c r="A545" s="8">
        <f t="shared" si="16"/>
        <v>2.7050000000000261E-2</v>
      </c>
      <c r="B545" s="8" cm="1">
        <f t="array" ref="B545">FAM(A545)</f>
        <v>-0.29352470723397756</v>
      </c>
      <c r="C545" s="14">
        <v>-6.5403123667538843E-15</v>
      </c>
      <c r="D545" s="14">
        <v>-0.29352470723397756</v>
      </c>
    </row>
    <row r="546" spans="1:4" x14ac:dyDescent="0.55000000000000004">
      <c r="A546" s="8">
        <f t="shared" si="16"/>
        <v>2.7100000000000263E-2</v>
      </c>
      <c r="B546" s="8" cm="1">
        <f t="array" ref="B546">FAM(A546)</f>
        <v>-0.40263410259455751</v>
      </c>
      <c r="C546" s="14">
        <v>-8.3184866267519857E-15</v>
      </c>
      <c r="D546" s="14">
        <v>-0.4026341025945574</v>
      </c>
    </row>
    <row r="547" spans="1:4" x14ac:dyDescent="0.55000000000000004">
      <c r="A547" s="8">
        <f t="shared" si="16"/>
        <v>2.7150000000000264E-2</v>
      </c>
      <c r="B547" s="8" cm="1">
        <f t="array" ref="B547">FAM(A547)</f>
        <v>-0.27575220341499235</v>
      </c>
      <c r="C547" s="14">
        <v>-6.2997843648433606E-15</v>
      </c>
      <c r="D547" s="14">
        <v>-0.27575220341499235</v>
      </c>
    </row>
    <row r="548" spans="1:4" x14ac:dyDescent="0.55000000000000004">
      <c r="A548" s="8">
        <f t="shared" si="16"/>
        <v>2.7200000000000266E-2</v>
      </c>
      <c r="B548" s="8" cm="1">
        <f t="array" ref="B548">FAM(A548)</f>
        <v>1.3980046613707783E-12</v>
      </c>
      <c r="C548" s="14">
        <v>-7.9704923593636616E-15</v>
      </c>
      <c r="D548" s="14">
        <v>1.3979881234209751E-12</v>
      </c>
    </row>
    <row r="549" spans="1:4" x14ac:dyDescent="0.55000000000000004">
      <c r="A549" s="8">
        <f t="shared" si="16"/>
        <v>2.7250000000000267E-2</v>
      </c>
      <c r="B549" s="8" cm="1">
        <f t="array" ref="B549">FAM(A549)</f>
        <v>0.25757476837233167</v>
      </c>
      <c r="C549" s="14">
        <v>-6.1412420549347912E-15</v>
      </c>
      <c r="D549" s="14">
        <v>0.25757476837233173</v>
      </c>
    </row>
    <row r="550" spans="1:4" x14ac:dyDescent="0.55000000000000004">
      <c r="A550" s="8">
        <f t="shared" si="16"/>
        <v>2.7300000000000268E-2</v>
      </c>
      <c r="B550" s="8" cm="1">
        <f t="array" ref="B550">FAM(A550)</f>
        <v>0.35131503717001311</v>
      </c>
      <c r="C550" s="14">
        <v>-7.925018673709503E-15</v>
      </c>
      <c r="D550" s="14">
        <v>0.35131503717001311</v>
      </c>
    </row>
    <row r="551" spans="1:4" x14ac:dyDescent="0.55000000000000004">
      <c r="A551" s="8">
        <f t="shared" si="16"/>
        <v>2.735000000000027E-2</v>
      </c>
      <c r="B551" s="8" cm="1">
        <f t="array" ref="B551">FAM(A551)</f>
        <v>0.23925938698211927</v>
      </c>
      <c r="C551" s="14">
        <v>-6.1703906220969323E-15</v>
      </c>
      <c r="D551" s="14">
        <v>0.23925938698211921</v>
      </c>
    </row>
    <row r="552" spans="1:4" x14ac:dyDescent="0.55000000000000004">
      <c r="A552" s="8">
        <f t="shared" si="16"/>
        <v>2.7400000000000271E-2</v>
      </c>
      <c r="B552" s="8" cm="1">
        <f t="array" ref="B552">FAM(A552)</f>
        <v>-1.2398431894919247E-12</v>
      </c>
      <c r="C552" s="14">
        <v>-7.7420255982054015E-15</v>
      </c>
      <c r="D552" s="14">
        <v>-1.2398167449180515E-12</v>
      </c>
    </row>
    <row r="553" spans="1:4" x14ac:dyDescent="0.55000000000000004">
      <c r="A553" s="8">
        <f t="shared" si="16"/>
        <v>2.7450000000000273E-2</v>
      </c>
      <c r="B553" s="8" cm="1">
        <f t="array" ref="B553">FAM(A553)</f>
        <v>-0.22108173768974873</v>
      </c>
      <c r="C553" s="36">
        <v>-6.0496225921145458E-15</v>
      </c>
      <c r="D553" s="36">
        <v>-0.22108173768974876</v>
      </c>
    </row>
    <row r="554" spans="1:4" x14ac:dyDescent="0.55000000000000004">
      <c r="A554" s="4">
        <f t="shared" si="16"/>
        <v>2.7500000000000274E-2</v>
      </c>
      <c r="B554" s="4" cm="1">
        <f t="array" ref="B554">FAM(A554)</f>
        <v>-0.29999999999993843</v>
      </c>
      <c r="C554" s="13">
        <v>-7.6240363151124283E-15</v>
      </c>
      <c r="D554" s="13">
        <v>-0.29999999999993837</v>
      </c>
    </row>
    <row r="555" spans="1:4" x14ac:dyDescent="0.55000000000000004">
      <c r="A555" s="8">
        <f t="shared" si="16"/>
        <v>2.7550000000000276E-2</v>
      </c>
      <c r="B555" s="8" cm="1">
        <f t="array" ref="B555">FAM(A555)</f>
        <v>-0.2033218968267495</v>
      </c>
      <c r="C555" s="14">
        <v>-6.2343202259945121E-15</v>
      </c>
      <c r="D555" s="14">
        <v>-0.20332189682674945</v>
      </c>
    </row>
    <row r="556" spans="1:4" x14ac:dyDescent="0.55000000000000004">
      <c r="A556" s="8">
        <f t="shared" si="16"/>
        <v>2.7600000000000277E-2</v>
      </c>
      <c r="B556" s="8" cm="1">
        <f t="array" ref="B556">FAM(A556)</f>
        <v>1.0771936281387898E-12</v>
      </c>
      <c r="C556" s="14">
        <v>-8.0521671228188325E-15</v>
      </c>
      <c r="D556" s="14">
        <v>1.0771785819236326E-12</v>
      </c>
    </row>
    <row r="557" spans="1:4" x14ac:dyDescent="0.55000000000000004">
      <c r="A557" s="8">
        <f t="shared" si="16"/>
        <v>2.7650000000000279E-2</v>
      </c>
      <c r="B557" s="8" cm="1">
        <f t="array" ref="B557">FAM(A557)</f>
        <v>0.18625994769927429</v>
      </c>
      <c r="C557" s="14">
        <v>-6.1820311129415596E-15</v>
      </c>
      <c r="D557" s="14">
        <v>0.18625994769927434</v>
      </c>
    </row>
    <row r="558" spans="1:4" x14ac:dyDescent="0.55000000000000004">
      <c r="A558" s="8">
        <f t="shared" si="16"/>
        <v>2.770000000000028E-2</v>
      </c>
      <c r="B558" s="8" cm="1">
        <f t="array" ref="B558">FAM(A558)</f>
        <v>0.25183908230407664</v>
      </c>
      <c r="C558" s="14">
        <v>-7.7387653319646425E-15</v>
      </c>
      <c r="D558" s="14">
        <v>0.25183908230407659</v>
      </c>
    </row>
    <row r="559" spans="1:4" x14ac:dyDescent="0.55000000000000004">
      <c r="A559" s="8">
        <f t="shared" si="16"/>
        <v>2.7750000000000281E-2</v>
      </c>
      <c r="B559" s="8" cm="1">
        <f t="array" ref="B559">FAM(A559)</f>
        <v>0.1701715634809316</v>
      </c>
      <c r="C559" s="14">
        <v>-6.2410120226411651E-15</v>
      </c>
      <c r="D559" s="14">
        <v>0.17017156348093157</v>
      </c>
    </row>
    <row r="560" spans="1:4" x14ac:dyDescent="0.55000000000000004">
      <c r="A560" s="8">
        <f t="shared" si="16"/>
        <v>2.7800000000000283E-2</v>
      </c>
      <c r="B560" s="8" cm="1">
        <f t="array" ref="B560">FAM(A560)</f>
        <v>-9.2319000657229775E-13</v>
      </c>
      <c r="C560" s="14">
        <v>-7.5497233656447961E-15</v>
      </c>
      <c r="D560" s="14">
        <v>-9.2316772530931536E-13</v>
      </c>
    </row>
    <row r="561" spans="1:4" x14ac:dyDescent="0.55000000000000004">
      <c r="A561" s="8">
        <f t="shared" si="16"/>
        <v>2.7850000000000284E-2</v>
      </c>
      <c r="B561" s="8" cm="1">
        <f t="array" ref="B561">FAM(A561)</f>
        <v>-0.15532363367487048</v>
      </c>
      <c r="C561" s="14">
        <v>-6.1383167916897761E-15</v>
      </c>
      <c r="D561" s="14">
        <v>-0.15532363367487056</v>
      </c>
    </row>
    <row r="562" spans="1:4" x14ac:dyDescent="0.55000000000000004">
      <c r="A562" s="8">
        <f t="shared" si="16"/>
        <v>2.7900000000000286E-2</v>
      </c>
      <c r="B562" s="8" cm="1">
        <f t="array" ref="B562">FAM(A562)</f>
        <v>-0.20993263295388165</v>
      </c>
      <c r="C562" s="14">
        <v>-7.2514435605000079E-15</v>
      </c>
      <c r="D562" s="14">
        <v>-0.20993263295388179</v>
      </c>
    </row>
    <row r="563" spans="1:4" x14ac:dyDescent="0.55000000000000004">
      <c r="A563" s="8">
        <f t="shared" si="16"/>
        <v>2.7950000000000287E-2</v>
      </c>
      <c r="B563" s="8" cm="1">
        <f t="array" ref="B563">FAM(A563)</f>
        <v>-0.14197000312389033</v>
      </c>
      <c r="C563" s="14">
        <v>-6.1569677811114742E-15</v>
      </c>
      <c r="D563" s="14">
        <v>-0.14197000312389021</v>
      </c>
    </row>
    <row r="564" spans="1:4" x14ac:dyDescent="0.55000000000000004">
      <c r="A564" s="8">
        <f t="shared" si="16"/>
        <v>2.8000000000000289E-2</v>
      </c>
      <c r="B564" s="8" cm="1">
        <f t="array" ref="B564">FAM(A564)</f>
        <v>7.8072388894992973E-13</v>
      </c>
      <c r="C564" s="14">
        <v>-7.3092544496616759E-15</v>
      </c>
      <c r="D564" s="14">
        <v>7.8071508135357541E-13</v>
      </c>
    </row>
    <row r="565" spans="1:4" x14ac:dyDescent="0.55000000000000004">
      <c r="A565" s="8">
        <f t="shared" si="16"/>
        <v>2.805000000000029E-2</v>
      </c>
      <c r="B565" s="8" cm="1">
        <f t="array" ref="B565">FAM(A565)</f>
        <v>0.13034739106221277</v>
      </c>
      <c r="C565" s="14">
        <v>-6.0534548581885226E-15</v>
      </c>
      <c r="D565" s="14">
        <v>0.13034739106221291</v>
      </c>
    </row>
    <row r="566" spans="1:4" x14ac:dyDescent="0.55000000000000004">
      <c r="A566" s="8">
        <f t="shared" si="16"/>
        <v>2.8100000000000291E-2</v>
      </c>
      <c r="B566" s="8" cm="1">
        <f t="array" ref="B566">FAM(A566)</f>
        <v>0.17713528163657583</v>
      </c>
      <c r="C566" s="14">
        <v>-7.5883311390565158E-15</v>
      </c>
      <c r="D566" s="14">
        <v>0.17713528163657599</v>
      </c>
    </row>
    <row r="567" spans="1:4" x14ac:dyDescent="0.55000000000000004">
      <c r="A567" s="8">
        <f t="shared" si="16"/>
        <v>2.8150000000000293E-2</v>
      </c>
      <c r="B567" s="8" cm="1">
        <f t="array" ref="B567">FAM(A567)</f>
        <v>0.12067155479107239</v>
      </c>
      <c r="C567" s="14">
        <v>-6.2324956663127531E-15</v>
      </c>
      <c r="D567" s="14">
        <v>0.12067155479107239</v>
      </c>
    </row>
    <row r="568" spans="1:4" x14ac:dyDescent="0.55000000000000004">
      <c r="A568" s="8">
        <f t="shared" si="16"/>
        <v>2.8200000000000294E-2</v>
      </c>
      <c r="B568" s="8" cm="1">
        <f t="array" ref="B568">FAM(A568)</f>
        <v>-6.8682220251876835E-13</v>
      </c>
      <c r="C568" s="14">
        <v>-7.4712643217670735E-15</v>
      </c>
      <c r="D568" s="14">
        <v>-6.8680898558300348E-13</v>
      </c>
    </row>
    <row r="569" spans="1:4" x14ac:dyDescent="0.55000000000000004">
      <c r="A569" s="8">
        <f t="shared" si="16"/>
        <v>2.8250000000000296E-2</v>
      </c>
      <c r="B569" s="8" cm="1">
        <f t="array" ref="B569">FAM(A569)</f>
        <v>-0.11313375896318376</v>
      </c>
      <c r="C569" s="14">
        <v>-6.3868309434529944E-15</v>
      </c>
      <c r="D569" s="14">
        <v>-0.11313375896318377</v>
      </c>
    </row>
    <row r="570" spans="1:4" x14ac:dyDescent="0.55000000000000004">
      <c r="A570" s="8">
        <f t="shared" si="16"/>
        <v>2.8300000000000297E-2</v>
      </c>
      <c r="B570" s="8" cm="1">
        <f t="array" ref="B570">FAM(A570)</f>
        <v>-0.15587307889080435</v>
      </c>
      <c r="C570" s="14">
        <v>-7.2334166858096006E-15</v>
      </c>
      <c r="D570" s="14">
        <v>-0.15587307889080443</v>
      </c>
    </row>
    <row r="571" spans="1:4" x14ac:dyDescent="0.55000000000000004">
      <c r="A571" s="8">
        <f t="shared" si="16"/>
        <v>2.8350000000000299E-2</v>
      </c>
      <c r="B571" s="8" cm="1">
        <f t="array" ref="B571">FAM(A571)</f>
        <v>-0.10789760659183932</v>
      </c>
      <c r="C571" s="14">
        <v>-6.2237014155610524E-15</v>
      </c>
      <c r="D571" s="14">
        <v>-0.10789760659183928</v>
      </c>
    </row>
    <row r="572" spans="1:4" x14ac:dyDescent="0.55000000000000004">
      <c r="A572" s="8">
        <f t="shared" si="16"/>
        <v>2.84000000000003E-2</v>
      </c>
      <c r="B572" s="8" cm="1">
        <f t="array" ref="B572">FAM(A572)</f>
        <v>6.4079857949400819E-13</v>
      </c>
      <c r="C572" s="14">
        <v>-7.247351022114396E-15</v>
      </c>
      <c r="D572" s="14">
        <v>6.407995618804186E-13</v>
      </c>
    </row>
    <row r="573" spans="1:4" x14ac:dyDescent="0.55000000000000004">
      <c r="A573" s="8">
        <f t="shared" si="16"/>
        <v>2.8450000000000301E-2</v>
      </c>
      <c r="B573" s="8" cm="1">
        <f t="array" ref="B573">FAM(A573)</f>
        <v>0.10509628243040323</v>
      </c>
      <c r="C573" s="14">
        <v>-6.1734467998384223E-15</v>
      </c>
      <c r="D573" s="14">
        <v>0.10509628243040327</v>
      </c>
    </row>
    <row r="574" spans="1:4" x14ac:dyDescent="0.55000000000000004">
      <c r="A574" s="8">
        <f t="shared" si="16"/>
        <v>2.8500000000000303E-2</v>
      </c>
      <c r="B574" s="8" cm="1">
        <f t="array" ref="B574">FAM(A574)</f>
        <v>0.14798529786597875</v>
      </c>
      <c r="C574" s="14">
        <v>-7.0799989991852827E-15</v>
      </c>
      <c r="D574" s="14">
        <v>0.14798529786597872</v>
      </c>
    </row>
    <row r="575" spans="1:4" x14ac:dyDescent="0.55000000000000004">
      <c r="A575" s="8">
        <f t="shared" si="16"/>
        <v>2.8550000000000304E-2</v>
      </c>
      <c r="B575" s="8" cm="1">
        <f t="array" ref="B575">FAM(A575)</f>
        <v>0.10483025282951147</v>
      </c>
      <c r="C575" s="14">
        <v>-6.1013007144628747E-15</v>
      </c>
      <c r="D575" s="14">
        <v>0.10483025282951143</v>
      </c>
    </row>
    <row r="576" spans="1:4" x14ac:dyDescent="0.55000000000000004">
      <c r="A576" s="8">
        <f t="shared" si="16"/>
        <v>2.8600000000000306E-2</v>
      </c>
      <c r="B576" s="8" cm="1">
        <f t="array" ref="B576">FAM(A576)</f>
        <v>-6.4457098556921496E-13</v>
      </c>
      <c r="C576" s="14">
        <v>-7.1319620405701528E-15</v>
      </c>
      <c r="D576" s="14">
        <v>-6.4456994217079833E-13</v>
      </c>
    </row>
    <row r="577" spans="1:4" x14ac:dyDescent="0.55000000000000004">
      <c r="A577" s="8">
        <f t="shared" si="16"/>
        <v>2.8650000000000307E-2</v>
      </c>
      <c r="B577" s="8" cm="1">
        <f t="array" ref="B577">FAM(A577)</f>
        <v>-0.1071654591951236</v>
      </c>
      <c r="C577" s="14">
        <v>-6.2021442182517504E-15</v>
      </c>
      <c r="D577" s="14">
        <v>-0.10716545919512356</v>
      </c>
    </row>
    <row r="578" spans="1:4" x14ac:dyDescent="0.55000000000000004">
      <c r="A578" s="8">
        <f t="shared" si="16"/>
        <v>2.8700000000000309E-2</v>
      </c>
      <c r="B578" s="8" cm="1">
        <f t="array" ref="B578">FAM(A578)</f>
        <v>-0.15460092883008289</v>
      </c>
      <c r="C578" s="14">
        <v>-7.2063375989304323E-15</v>
      </c>
      <c r="D578" s="14">
        <v>-0.15460092883008286</v>
      </c>
    </row>
    <row r="579" spans="1:4" x14ac:dyDescent="0.55000000000000004">
      <c r="A579" s="8">
        <f t="shared" si="16"/>
        <v>2.875000000000031E-2</v>
      </c>
      <c r="B579" s="8" cm="1">
        <f t="array" ref="B579">FAM(A579)</f>
        <v>-0.11213203435548955</v>
      </c>
      <c r="C579" s="14">
        <v>-6.314479461162322E-15</v>
      </c>
      <c r="D579" s="14">
        <v>-0.11213203435548941</v>
      </c>
    </row>
    <row r="580" spans="1:4" x14ac:dyDescent="0.55000000000000004">
      <c r="A580" s="8">
        <f t="shared" si="16"/>
        <v>2.8800000000000311E-2</v>
      </c>
      <c r="B580" s="8" cm="1">
        <f t="array" ref="B580">FAM(A580)</f>
        <v>7.2197559956305921E-13</v>
      </c>
      <c r="C580" s="14">
        <v>-6.9392815115302402E-15</v>
      </c>
      <c r="D580" s="14">
        <v>7.219877629778878E-13</v>
      </c>
    </row>
    <row r="581" spans="1:4" x14ac:dyDescent="0.55000000000000004">
      <c r="A581" s="8">
        <f t="shared" si="16"/>
        <v>2.8850000000000313E-2</v>
      </c>
      <c r="B581" s="8" cm="1">
        <f t="array" ref="B581">FAM(A581)</f>
        <v>0.11972356310106839</v>
      </c>
      <c r="C581" s="14">
        <v>-6.3375247664045057E-15</v>
      </c>
      <c r="D581" s="14">
        <v>0.11972356310106856</v>
      </c>
    </row>
    <row r="582" spans="1:4" x14ac:dyDescent="0.55000000000000004">
      <c r="A582" s="8">
        <f t="shared" ref="A582:A645" si="17">A581+0.00005</f>
        <v>2.8900000000000314E-2</v>
      </c>
      <c r="B582" s="8" cm="1">
        <f t="array" ref="B582">FAM(A582)</f>
        <v>0.17605775190456494</v>
      </c>
      <c r="C582" s="14">
        <v>-6.8362834709461267E-15</v>
      </c>
      <c r="D582" s="14">
        <v>0.17605775190456499</v>
      </c>
    </row>
    <row r="583" spans="1:4" x14ac:dyDescent="0.55000000000000004">
      <c r="A583" s="8">
        <f t="shared" si="17"/>
        <v>2.8950000000000316E-2</v>
      </c>
      <c r="B583" s="8" cm="1">
        <f t="array" ref="B583">FAM(A583)</f>
        <v>0.12989689954227379</v>
      </c>
      <c r="C583" s="14">
        <v>-6.3290611924686433E-15</v>
      </c>
      <c r="D583" s="14">
        <v>0.12989689954227385</v>
      </c>
    </row>
    <row r="584" spans="1:4" x14ac:dyDescent="0.55000000000000004">
      <c r="A584" s="8">
        <f t="shared" si="17"/>
        <v>2.9000000000000317E-2</v>
      </c>
      <c r="B584" s="8" cm="1">
        <f t="array" ref="B584">FAM(A584)</f>
        <v>-8.6870595691792343E-13</v>
      </c>
      <c r="C584" s="14">
        <v>-6.7903243128642722E-15</v>
      </c>
      <c r="D584" s="14">
        <v>-8.6871764536749596E-13</v>
      </c>
    </row>
    <row r="585" spans="1:4" x14ac:dyDescent="0.55000000000000004">
      <c r="A585" s="8">
        <f t="shared" si="17"/>
        <v>2.9050000000000319E-2</v>
      </c>
      <c r="B585" s="8" cm="1">
        <f t="array" ref="B585">FAM(A585)</f>
        <v>-0.14257254534778938</v>
      </c>
      <c r="C585" s="14">
        <v>-5.9959602129111212E-15</v>
      </c>
      <c r="D585" s="14">
        <v>-0.14257254534778935</v>
      </c>
    </row>
    <row r="586" spans="1:4" x14ac:dyDescent="0.55000000000000004">
      <c r="A586" s="8">
        <f t="shared" si="17"/>
        <v>2.910000000000032E-2</v>
      </c>
      <c r="B586" s="8" cm="1">
        <f t="array" ref="B586">FAM(A586)</f>
        <v>-0.21186923051105905</v>
      </c>
      <c r="C586" s="14">
        <v>-6.7843056291588502E-15</v>
      </c>
      <c r="D586" s="14">
        <v>-0.21186923051105919</v>
      </c>
    </row>
    <row r="587" spans="1:4" x14ac:dyDescent="0.55000000000000004">
      <c r="A587" s="8">
        <f t="shared" si="17"/>
        <v>2.9150000000000321E-2</v>
      </c>
      <c r="B587" s="8" cm="1">
        <f t="array" ref="B587">FAM(A587)</f>
        <v>-0.15763558402460123</v>
      </c>
      <c r="C587" s="14">
        <v>-6.2837384397230445E-15</v>
      </c>
      <c r="D587" s="14">
        <v>-0.15763558402460121</v>
      </c>
    </row>
    <row r="588" spans="1:4" x14ac:dyDescent="0.55000000000000004">
      <c r="A588" s="8">
        <f t="shared" si="17"/>
        <v>2.9200000000000323E-2</v>
      </c>
      <c r="B588" s="8" cm="1">
        <f t="array" ref="B588">FAM(A588)</f>
        <v>1.0851617690590861E-12</v>
      </c>
      <c r="C588" s="14">
        <v>-6.9769078539728183E-15</v>
      </c>
      <c r="D588" s="14">
        <v>1.0851838974286366E-12</v>
      </c>
    </row>
    <row r="589" spans="1:4" x14ac:dyDescent="0.55000000000000004">
      <c r="A589" s="8">
        <f t="shared" si="17"/>
        <v>2.9250000000000324E-2</v>
      </c>
      <c r="B589" s="8" cm="1">
        <f t="array" ref="B589">FAM(A589)</f>
        <v>0.17493715783858338</v>
      </c>
      <c r="C589" s="14">
        <v>-6.3840676710643698E-15</v>
      </c>
      <c r="D589" s="14">
        <v>0.17493715783858352</v>
      </c>
    </row>
    <row r="590" spans="1:4" x14ac:dyDescent="0.55000000000000004">
      <c r="A590" s="8">
        <f t="shared" si="17"/>
        <v>2.9300000000000326E-2</v>
      </c>
      <c r="B590" s="8" cm="1">
        <f t="array" ref="B590">FAM(A590)</f>
        <v>0.26074149313190892</v>
      </c>
      <c r="C590" s="14">
        <v>-6.8779915012849961E-15</v>
      </c>
      <c r="D590" s="14">
        <v>0.26074149313190897</v>
      </c>
    </row>
    <row r="591" spans="1:4" x14ac:dyDescent="0.55000000000000004">
      <c r="A591" s="8">
        <f t="shared" si="17"/>
        <v>2.9350000000000327E-2</v>
      </c>
      <c r="B591" s="8" cm="1">
        <f t="array" ref="B591">FAM(A591)</f>
        <v>0.19429646532768929</v>
      </c>
      <c r="C591" s="14">
        <v>-6.2104521725019396E-15</v>
      </c>
      <c r="D591" s="14">
        <v>0.19429646532768932</v>
      </c>
    </row>
    <row r="592" spans="1:4" x14ac:dyDescent="0.55000000000000004">
      <c r="A592" s="8">
        <f t="shared" si="17"/>
        <v>2.9400000000000329E-2</v>
      </c>
      <c r="B592" s="8" cm="1">
        <f t="array" ref="B592">FAM(A592)</f>
        <v>-1.3512335650468577E-12</v>
      </c>
      <c r="C592" s="14">
        <v>-6.6631227907241384E-15</v>
      </c>
      <c r="D592" s="14">
        <v>-1.3512558357750694E-12</v>
      </c>
    </row>
    <row r="593" spans="1:4" x14ac:dyDescent="0.55000000000000004">
      <c r="A593" s="8">
        <f t="shared" si="17"/>
        <v>2.945000000000033E-2</v>
      </c>
      <c r="B593" s="8" cm="1">
        <f t="array" ref="B593">FAM(A593)</f>
        <v>-0.21550324937579993</v>
      </c>
      <c r="C593" s="14">
        <v>-6.4017079883064348E-15</v>
      </c>
      <c r="D593" s="14">
        <v>-0.21550324937579995</v>
      </c>
    </row>
    <row r="594" spans="1:4" x14ac:dyDescent="0.55000000000000004">
      <c r="A594" s="8">
        <f t="shared" si="17"/>
        <v>2.9500000000000332E-2</v>
      </c>
      <c r="B594" s="8" cm="1">
        <f t="array" ref="B594">FAM(A594)</f>
        <v>-0.3206395506666132</v>
      </c>
      <c r="C594" s="14">
        <v>-6.5779548349580896E-15</v>
      </c>
      <c r="D594" s="14">
        <v>-0.3206395506666132</v>
      </c>
    </row>
    <row r="595" spans="1:4" x14ac:dyDescent="0.55000000000000004">
      <c r="A595" s="8">
        <f t="shared" si="17"/>
        <v>2.9550000000000333E-2</v>
      </c>
      <c r="B595" s="8" cm="1">
        <f t="array" ref="B595">FAM(A595)</f>
        <v>-0.23832073794377909</v>
      </c>
      <c r="C595" s="14">
        <v>-6.169018381690034E-15</v>
      </c>
      <c r="D595" s="14">
        <v>-0.23832073794377912</v>
      </c>
    </row>
    <row r="596" spans="1:4" x14ac:dyDescent="0.55000000000000004">
      <c r="A596" s="8">
        <f t="shared" si="17"/>
        <v>2.9600000000000334E-2</v>
      </c>
      <c r="B596" s="8" cm="1">
        <f t="array" ref="B596">FAM(A596)</f>
        <v>1.6884871360641031E-12</v>
      </c>
      <c r="C596" s="14">
        <v>-6.4931506146120675E-15</v>
      </c>
      <c r="D596" s="14">
        <v>1.688515594375388E-12</v>
      </c>
    </row>
    <row r="597" spans="1:4" x14ac:dyDescent="0.55000000000000004">
      <c r="A597" s="8">
        <f t="shared" si="17"/>
        <v>2.9650000000000336E-2</v>
      </c>
      <c r="B597" s="8" cm="1">
        <f t="array" ref="B597">FAM(A597)</f>
        <v>0.26248899267141268</v>
      </c>
      <c r="C597" s="14">
        <v>-6.2092154012059052E-15</v>
      </c>
      <c r="D597" s="14">
        <v>0.26248899267141274</v>
      </c>
    </row>
    <row r="598" spans="1:4" x14ac:dyDescent="0.55000000000000004">
      <c r="A598" s="8">
        <f t="shared" si="17"/>
        <v>2.9700000000000337E-2</v>
      </c>
      <c r="B598" s="8" cm="1">
        <f t="array" ref="B598">FAM(A598)</f>
        <v>0.3888988265460287</v>
      </c>
      <c r="C598" s="14">
        <v>-6.5771491258592945E-15</v>
      </c>
      <c r="D598" s="14">
        <v>0.3888988265460287</v>
      </c>
    </row>
    <row r="599" spans="1:4" x14ac:dyDescent="0.55000000000000004">
      <c r="A599" s="8">
        <f t="shared" si="17"/>
        <v>2.9750000000000339E-2</v>
      </c>
      <c r="B599" s="8" cm="1">
        <f t="array" ref="B599">FAM(A599)</f>
        <v>0.28772861393882848</v>
      </c>
      <c r="C599" s="14">
        <v>-6.3345974839468562E-15</v>
      </c>
      <c r="D599" s="14">
        <v>0.28772861393882854</v>
      </c>
    </row>
    <row r="600" spans="1:4" x14ac:dyDescent="0.55000000000000004">
      <c r="A600" s="8">
        <f t="shared" si="17"/>
        <v>2.980000000000034E-2</v>
      </c>
      <c r="B600" s="8" cm="1">
        <f t="array" ref="B600">FAM(A600)</f>
        <v>-2.0723340173760591E-12</v>
      </c>
      <c r="C600" s="14">
        <v>-6.5362116069475267E-15</v>
      </c>
      <c r="D600" s="14">
        <v>-2.0723624980859183E-12</v>
      </c>
    </row>
    <row r="601" spans="1:4" x14ac:dyDescent="0.55000000000000004">
      <c r="A601" s="8">
        <f t="shared" si="17"/>
        <v>2.9850000000000342E-2</v>
      </c>
      <c r="B601" s="8" cm="1">
        <f t="array" ref="B601">FAM(A601)</f>
        <v>-0.31374474564994037</v>
      </c>
      <c r="C601" s="14">
        <v>-6.4523805624422645E-15</v>
      </c>
      <c r="D601" s="14">
        <v>-0.31374474564994026</v>
      </c>
    </row>
    <row r="602" spans="1:4" x14ac:dyDescent="0.55000000000000004">
      <c r="A602" s="8">
        <f t="shared" si="17"/>
        <v>2.9900000000000343E-2</v>
      </c>
      <c r="B602" s="8" cm="1">
        <f t="array" ref="B602">FAM(A602)</f>
        <v>-0.46237524938139279</v>
      </c>
      <c r="C602" s="14">
        <v>-6.4239992387173552E-15</v>
      </c>
      <c r="D602" s="14">
        <v>-0.46237524938139291</v>
      </c>
    </row>
    <row r="603" spans="1:4" x14ac:dyDescent="0.55000000000000004">
      <c r="A603" s="8">
        <f t="shared" si="17"/>
        <v>2.9950000000000344E-2</v>
      </c>
      <c r="B603" s="8" cm="1">
        <f t="array" ref="B603">FAM(A603)</f>
        <v>-0.34023131801171952</v>
      </c>
      <c r="C603" s="36">
        <v>-6.5008288695167286E-15</v>
      </c>
      <c r="D603" s="36">
        <v>-0.34023131801171952</v>
      </c>
    </row>
    <row r="604" spans="1:4" x14ac:dyDescent="0.55000000000000004">
      <c r="A604" s="4">
        <f t="shared" si="17"/>
        <v>3.0000000000000346E-2</v>
      </c>
      <c r="B604" s="4" cm="1">
        <f t="array" ref="B604">FAM(A604)</f>
        <v>2.4599511557733282E-12</v>
      </c>
      <c r="C604" s="13">
        <v>-6.5012354781414105E-15</v>
      </c>
      <c r="D604" s="13">
        <v>2.45998067376088E-12</v>
      </c>
    </row>
    <row r="605" spans="1:4" x14ac:dyDescent="0.55000000000000004">
      <c r="A605" s="8">
        <f t="shared" si="17"/>
        <v>3.0050000000000347E-2</v>
      </c>
      <c r="B605" s="8" cm="1">
        <f t="array" ref="B605">FAM(A605)</f>
        <v>0.36687546317512593</v>
      </c>
      <c r="C605" s="14">
        <v>-6.4708068018677628E-15</v>
      </c>
      <c r="D605" s="14">
        <v>0.3668754631751262</v>
      </c>
    </row>
    <row r="606" spans="1:4" x14ac:dyDescent="0.55000000000000004">
      <c r="A606" s="8">
        <f t="shared" si="17"/>
        <v>3.0100000000000349E-2</v>
      </c>
      <c r="B606" s="8" cm="1">
        <f t="array" ref="B606">FAM(A606)</f>
        <v>0.53762475061884363</v>
      </c>
      <c r="C606" s="14">
        <v>-5.7192794921763893E-15</v>
      </c>
      <c r="D606" s="14">
        <v>0.53762475061884374</v>
      </c>
    </row>
    <row r="607" spans="1:4" x14ac:dyDescent="0.55000000000000004">
      <c r="A607" s="8">
        <f t="shared" si="17"/>
        <v>3.015000000000035E-2</v>
      </c>
      <c r="B607" s="8" cm="1">
        <f t="array" ref="B607">FAM(A607)</f>
        <v>0.39336203553634469</v>
      </c>
      <c r="C607" s="14">
        <v>-5.9791819029254788E-15</v>
      </c>
      <c r="D607" s="14">
        <v>0.39336203553634491</v>
      </c>
    </row>
    <row r="608" spans="1:4" x14ac:dyDescent="0.55000000000000004">
      <c r="A608" s="8">
        <f t="shared" si="17"/>
        <v>3.0200000000000352E-2</v>
      </c>
      <c r="B608" s="8" cm="1">
        <f t="array" ref="B608">FAM(A608)</f>
        <v>-2.8871335770327738E-12</v>
      </c>
      <c r="C608" s="14">
        <v>-6.2552662593865023E-15</v>
      </c>
      <c r="D608" s="14">
        <v>-2.8871626828940692E-12</v>
      </c>
    </row>
    <row r="609" spans="1:4" x14ac:dyDescent="0.55000000000000004">
      <c r="A609" s="8">
        <f t="shared" si="17"/>
        <v>3.0250000000000353E-2</v>
      </c>
      <c r="B609" s="8" cm="1">
        <f t="array" ref="B609">FAM(A609)</f>
        <v>-0.41937816724860338</v>
      </c>
      <c r="C609" s="14">
        <v>-6.1541696544016983E-15</v>
      </c>
      <c r="D609" s="14">
        <v>-0.41937816724860355</v>
      </c>
    </row>
    <row r="610" spans="1:4" x14ac:dyDescent="0.55000000000000004">
      <c r="A610" s="8">
        <f t="shared" si="17"/>
        <v>3.0300000000000354E-2</v>
      </c>
      <c r="B610" s="8" cm="1">
        <f t="array" ref="B610">FAM(A610)</f>
        <v>-0.61110117345419657</v>
      </c>
      <c r="C610" s="14">
        <v>-6.2658293579719581E-15</v>
      </c>
      <c r="D610" s="14">
        <v>-0.61110117345419668</v>
      </c>
    </row>
    <row r="611" spans="1:4" x14ac:dyDescent="0.55000000000000004">
      <c r="A611" s="8">
        <f t="shared" si="17"/>
        <v>3.0350000000000356E-2</v>
      </c>
      <c r="B611" s="8" cm="1">
        <f t="array" ref="B611">FAM(A611)</f>
        <v>-0.44461778851428113</v>
      </c>
      <c r="C611" s="14">
        <v>-6.1938706777303427E-15</v>
      </c>
      <c r="D611" s="14">
        <v>-0.44461778851428141</v>
      </c>
    </row>
    <row r="612" spans="1:4" x14ac:dyDescent="0.55000000000000004">
      <c r="A612" s="8">
        <f t="shared" si="17"/>
        <v>3.0400000000000357E-2</v>
      </c>
      <c r="B612" s="8" cm="1">
        <f t="array" ref="B612">FAM(A612)</f>
        <v>3.3116664587173848E-12</v>
      </c>
      <c r="C612" s="14">
        <v>-5.9093780793199421E-15</v>
      </c>
      <c r="D612" s="14">
        <v>3.3116913234446464E-12</v>
      </c>
    </row>
    <row r="613" spans="1:4" x14ac:dyDescent="0.55000000000000004">
      <c r="A613" s="8">
        <f t="shared" si="17"/>
        <v>3.0450000000000359E-2</v>
      </c>
      <c r="B613" s="8" cm="1">
        <f t="array" ref="B613">FAM(A613)</f>
        <v>0.46878604324420098</v>
      </c>
      <c r="C613" s="14">
        <v>-5.8166872106466395E-15</v>
      </c>
      <c r="D613" s="14">
        <v>0.4687860432442012</v>
      </c>
    </row>
    <row r="614" spans="1:4" x14ac:dyDescent="0.55000000000000004">
      <c r="A614" s="8">
        <f t="shared" si="17"/>
        <v>3.050000000000036E-2</v>
      </c>
      <c r="B614" s="8" cm="1">
        <f t="array" ref="B614">FAM(A614)</f>
        <v>0.67936044933359052</v>
      </c>
      <c r="C614" s="14">
        <v>-6.2706772764198495E-15</v>
      </c>
      <c r="D614" s="14">
        <v>0.67936044933359052</v>
      </c>
    </row>
    <row r="615" spans="1:4" x14ac:dyDescent="0.55000000000000004">
      <c r="A615" s="8">
        <f t="shared" si="17"/>
        <v>3.0550000000000362E-2</v>
      </c>
      <c r="B615" s="8" cm="1">
        <f t="array" ref="B615">FAM(A615)</f>
        <v>0.49160353180934052</v>
      </c>
      <c r="C615" s="14">
        <v>-6.0736535706700858E-15</v>
      </c>
      <c r="D615" s="14">
        <v>0.49160353180934074</v>
      </c>
    </row>
    <row r="616" spans="1:4" x14ac:dyDescent="0.55000000000000004">
      <c r="A616" s="8">
        <f t="shared" si="17"/>
        <v>3.0600000000000363E-2</v>
      </c>
      <c r="B616" s="8" cm="1">
        <f t="array" ref="B616">FAM(A616)</f>
        <v>-3.7151147334392757E-12</v>
      </c>
      <c r="C616" s="14">
        <v>-6.5366034009637986E-15</v>
      </c>
      <c r="D616" s="14">
        <v>-3.7151389569061855E-12</v>
      </c>
    </row>
    <row r="617" spans="1:4" x14ac:dyDescent="0.55000000000000004">
      <c r="A617" s="8">
        <f t="shared" si="17"/>
        <v>3.0650000000000364E-2</v>
      </c>
      <c r="B617" s="8" cm="1">
        <f t="array" ref="B617">FAM(A617)</f>
        <v>-0.51281031586077896</v>
      </c>
      <c r="C617" s="14">
        <v>-6.8175112579128117E-15</v>
      </c>
      <c r="D617" s="14">
        <v>-0.5128103158607793</v>
      </c>
    </row>
    <row r="618" spans="1:4" x14ac:dyDescent="0.55000000000000004">
      <c r="A618" s="8">
        <f t="shared" si="17"/>
        <v>3.0700000000000366E-2</v>
      </c>
      <c r="B618" s="8" cm="1">
        <f t="array" ref="B618">FAM(A618)</f>
        <v>-0.73925850686826389</v>
      </c>
      <c r="C618" s="14">
        <v>-6.0862050481036944E-15</v>
      </c>
      <c r="D618" s="14">
        <v>-0.73925850686826378</v>
      </c>
    </row>
    <row r="619" spans="1:4" x14ac:dyDescent="0.55000000000000004">
      <c r="A619" s="8">
        <f t="shared" si="17"/>
        <v>3.0750000000000367E-2</v>
      </c>
      <c r="B619" s="8" cm="1">
        <f t="array" ref="B619">FAM(A619)</f>
        <v>-0.53216962334609974</v>
      </c>
      <c r="C619" s="14">
        <v>-6.2484759147592965E-15</v>
      </c>
      <c r="D619" s="14">
        <v>-0.53216962334609985</v>
      </c>
    </row>
    <row r="620" spans="1:4" x14ac:dyDescent="0.55000000000000004">
      <c r="A620" s="8">
        <f t="shared" si="17"/>
        <v>3.0800000000000369E-2</v>
      </c>
      <c r="B620" s="8" cm="1">
        <f t="array" ref="B620">FAM(A620)</f>
        <v>4.0362741420264895E-12</v>
      </c>
      <c r="C620" s="14">
        <v>-5.8394955648316511E-15</v>
      </c>
      <c r="D620" s="14">
        <v>4.0362895113209377E-12</v>
      </c>
    </row>
    <row r="621" spans="1:4" x14ac:dyDescent="0.55000000000000004">
      <c r="A621" s="8">
        <f t="shared" si="17"/>
        <v>3.085000000000037E-2</v>
      </c>
      <c r="B621" s="8" cm="1">
        <f t="array" ref="B621">FAM(A621)</f>
        <v>0.54947119716423554</v>
      </c>
      <c r="C621" s="14">
        <v>-6.5253478896452593E-15</v>
      </c>
      <c r="D621" s="14">
        <v>0.54947119716423565</v>
      </c>
    </row>
    <row r="622" spans="1:4" x14ac:dyDescent="0.55000000000000004">
      <c r="A622" s="8">
        <f t="shared" si="17"/>
        <v>3.0900000000000372E-2</v>
      </c>
      <c r="B622" s="8" cm="1">
        <f t="array" ref="B622">FAM(A622)</f>
        <v>0.78813076948907546</v>
      </c>
      <c r="C622" s="14">
        <v>-5.9111859576035167E-15</v>
      </c>
      <c r="D622" s="14">
        <v>0.78813076948907534</v>
      </c>
    </row>
    <row r="623" spans="1:4" x14ac:dyDescent="0.55000000000000004">
      <c r="A623" s="8">
        <f t="shared" si="17"/>
        <v>3.0950000000000373E-2</v>
      </c>
      <c r="B623" s="8" cm="1">
        <f t="array" ref="B623">FAM(A623)</f>
        <v>0.56453423583647244</v>
      </c>
      <c r="C623" s="14">
        <v>-6.3337501537706952E-15</v>
      </c>
      <c r="D623" s="14">
        <v>0.56453423583647255</v>
      </c>
    </row>
    <row r="624" spans="1:4" x14ac:dyDescent="0.55000000000000004">
      <c r="A624" s="8">
        <f t="shared" si="17"/>
        <v>3.1000000000000374E-2</v>
      </c>
      <c r="B624" s="8" cm="1">
        <f t="array" ref="B624">FAM(A624)</f>
        <v>-4.34384706384658E-12</v>
      </c>
      <c r="C624" s="14">
        <v>-5.7435295666153431E-15</v>
      </c>
      <c r="D624" s="14">
        <v>-4.3438622307825875E-12</v>
      </c>
    </row>
    <row r="625" spans="1:4" x14ac:dyDescent="0.55000000000000004">
      <c r="A625" s="8">
        <f t="shared" si="17"/>
        <v>3.1050000000000376E-2</v>
      </c>
      <c r="B625" s="8" cm="1">
        <f t="array" ref="B625">FAM(A625)</f>
        <v>-0.57720988164688114</v>
      </c>
      <c r="C625" s="14">
        <v>-6.257906141559921E-15</v>
      </c>
      <c r="D625" s="14">
        <v>-0.57720988164688125</v>
      </c>
    </row>
    <row r="626" spans="1:4" x14ac:dyDescent="0.55000000000000004">
      <c r="A626" s="8">
        <f t="shared" si="17"/>
        <v>3.1100000000000377E-2</v>
      </c>
      <c r="B626" s="8" cm="1">
        <f t="array" ref="B626">FAM(A626)</f>
        <v>-0.82394224809552508</v>
      </c>
      <c r="C626" s="14">
        <v>-5.8575168939970623E-15</v>
      </c>
      <c r="D626" s="14">
        <v>-0.82394224809552485</v>
      </c>
    </row>
    <row r="627" spans="1:4" x14ac:dyDescent="0.55000000000000004">
      <c r="A627" s="8">
        <f t="shared" si="17"/>
        <v>3.1150000000000379E-2</v>
      </c>
      <c r="B627" s="8" cm="1">
        <f t="array" ref="B627">FAM(A627)</f>
        <v>-0.58738321808286298</v>
      </c>
      <c r="C627" s="14">
        <v>-6.3767921730278174E-15</v>
      </c>
      <c r="D627" s="14">
        <v>-0.58738321808286309</v>
      </c>
    </row>
    <row r="628" spans="1:4" x14ac:dyDescent="0.55000000000000004">
      <c r="A628" s="8">
        <f t="shared" si="17"/>
        <v>3.120000000000038E-2</v>
      </c>
      <c r="B628" s="8" cm="1">
        <f t="array" ref="B628">FAM(A628)</f>
        <v>4.584516071949339E-12</v>
      </c>
      <c r="C628" s="14">
        <v>-6.067514283526003E-15</v>
      </c>
      <c r="D628" s="14">
        <v>4.5845190900401863E-12</v>
      </c>
    </row>
    <row r="629" spans="1:4" x14ac:dyDescent="0.55000000000000004">
      <c r="A629" s="8">
        <f t="shared" si="17"/>
        <v>3.1250000000000382E-2</v>
      </c>
      <c r="B629" s="8" cm="1">
        <f t="array" ref="B629">FAM(A629)</f>
        <v>0.59497474683388141</v>
      </c>
      <c r="C629" s="14">
        <v>-6.5336928167477988E-15</v>
      </c>
      <c r="D629" s="14">
        <v>0.59497474683388163</v>
      </c>
    </row>
    <row r="630" spans="1:4" x14ac:dyDescent="0.55000000000000004">
      <c r="A630" s="8">
        <f t="shared" si="17"/>
        <v>3.1300000000000383E-2</v>
      </c>
      <c r="B630" s="8" cm="1">
        <f t="array" ref="B630">FAM(A630)</f>
        <v>0.84539907116996149</v>
      </c>
      <c r="C630" s="14">
        <v>-5.5590349443975491E-15</v>
      </c>
      <c r="D630" s="14">
        <v>0.84539907116996149</v>
      </c>
    </row>
    <row r="631" spans="1:4" x14ac:dyDescent="0.55000000000000004">
      <c r="A631" s="8">
        <f t="shared" si="17"/>
        <v>3.1350000000000385E-2</v>
      </c>
      <c r="B631" s="8" cm="1">
        <f t="array" ref="B631">FAM(A631)</f>
        <v>0.59994132198857753</v>
      </c>
      <c r="C631" s="14">
        <v>-6.4411076708712376E-15</v>
      </c>
      <c r="D631" s="14">
        <v>0.59994132198857775</v>
      </c>
    </row>
    <row r="632" spans="1:4" x14ac:dyDescent="0.55000000000000004">
      <c r="A632" s="8">
        <f t="shared" si="17"/>
        <v>3.1400000000000386E-2</v>
      </c>
      <c r="B632" s="8" cm="1">
        <f t="array" ref="B632">FAM(A632)</f>
        <v>-4.7490193957097679E-12</v>
      </c>
      <c r="C632" s="14">
        <v>-5.7363857337176396E-15</v>
      </c>
      <c r="D632" s="14">
        <v>-4.7490235837549094E-12</v>
      </c>
    </row>
    <row r="633" spans="1:4" x14ac:dyDescent="0.55000000000000004">
      <c r="A633" s="8">
        <f t="shared" si="17"/>
        <v>3.1450000000000387E-2</v>
      </c>
      <c r="B633" s="8" cm="1">
        <f t="array" ref="B633">FAM(A633)</f>
        <v>-0.60227652835993117</v>
      </c>
      <c r="C633" s="14">
        <v>-6.3679807363317775E-15</v>
      </c>
      <c r="D633" s="14">
        <v>-0.6022765283599314</v>
      </c>
    </row>
    <row r="634" spans="1:4" x14ac:dyDescent="0.55000000000000004">
      <c r="A634" s="8">
        <f t="shared" si="17"/>
        <v>3.1500000000000389E-2</v>
      </c>
      <c r="B634" s="8" cm="1">
        <f t="array" ref="B634">FAM(A634)</f>
        <v>-0.85201470213401886</v>
      </c>
      <c r="C634" s="14">
        <v>-5.5056893933228303E-15</v>
      </c>
      <c r="D634" s="14">
        <v>-0.85201470213401875</v>
      </c>
    </row>
    <row r="635" spans="1:4" x14ac:dyDescent="0.55000000000000004">
      <c r="A635" s="8">
        <f t="shared" si="17"/>
        <v>3.155000000000039E-2</v>
      </c>
      <c r="B635" s="8" cm="1">
        <f t="array" ref="B635">FAM(A635)</f>
        <v>-0.60201049875321222</v>
      </c>
      <c r="C635" s="14">
        <v>-6.2231952254859635E-15</v>
      </c>
      <c r="D635" s="14">
        <v>-0.60201049875321244</v>
      </c>
    </row>
    <row r="636" spans="1:4" x14ac:dyDescent="0.55000000000000004">
      <c r="A636" s="8">
        <f t="shared" si="17"/>
        <v>3.1600000000000392E-2</v>
      </c>
      <c r="B636" s="8" cm="1">
        <f t="array" ref="B636">FAM(A636)</f>
        <v>4.7840941259398638E-12</v>
      </c>
      <c r="C636" s="14">
        <v>-5.4660440041403499E-15</v>
      </c>
      <c r="D636" s="14">
        <v>4.7840845704725959E-12</v>
      </c>
    </row>
    <row r="637" spans="1:4" x14ac:dyDescent="0.55000000000000004">
      <c r="A637" s="8">
        <f t="shared" si="17"/>
        <v>3.1650000000000393E-2</v>
      </c>
      <c r="B637" s="8" cm="1">
        <f t="array" ref="B637">FAM(A637)</f>
        <v>0.59920917459761369</v>
      </c>
      <c r="C637" s="14">
        <v>-6.2139714639830234E-15</v>
      </c>
      <c r="D637" s="14">
        <v>0.59920917459761391</v>
      </c>
    </row>
    <row r="638" spans="1:4" x14ac:dyDescent="0.55000000000000004">
      <c r="A638" s="8">
        <f t="shared" si="17"/>
        <v>3.1700000000000395E-2</v>
      </c>
      <c r="B638" s="8" cm="1">
        <f t="array" ref="B638">FAM(A638)</f>
        <v>0.84412692110914889</v>
      </c>
      <c r="C638" s="14">
        <v>-5.7862081733393943E-15</v>
      </c>
      <c r="D638" s="14">
        <v>0.84412692110914866</v>
      </c>
    </row>
    <row r="639" spans="1:4" x14ac:dyDescent="0.55000000000000004">
      <c r="A639" s="8">
        <f t="shared" si="17"/>
        <v>3.1750000000000396E-2</v>
      </c>
      <c r="B639" s="8" cm="1">
        <f t="array" ref="B639">FAM(A639)</f>
        <v>0.59397302222040782</v>
      </c>
      <c r="C639" s="14">
        <v>-6.6132359523780039E-15</v>
      </c>
      <c r="D639" s="14">
        <v>0.59397302222040793</v>
      </c>
    </row>
    <row r="640" spans="1:4" x14ac:dyDescent="0.55000000000000004">
      <c r="A640" s="8">
        <f t="shared" si="17"/>
        <v>3.1800000000000397E-2</v>
      </c>
      <c r="B640" s="8" cm="1">
        <f t="array" ref="B640">FAM(A640)</f>
        <v>-4.7869203939158917E-12</v>
      </c>
      <c r="C640" s="14">
        <v>-5.5841656970987607E-15</v>
      </c>
      <c r="D640" s="14">
        <v>-4.7869142930837978E-12</v>
      </c>
    </row>
    <row r="641" spans="1:4" x14ac:dyDescent="0.55000000000000004">
      <c r="A641" s="8">
        <f t="shared" si="17"/>
        <v>3.1850000000000399E-2</v>
      </c>
      <c r="B641" s="8" cm="1">
        <f t="array" ref="B641">FAM(A641)</f>
        <v>-0.58643522639829793</v>
      </c>
      <c r="C641" s="14">
        <v>-6.398991951852314E-15</v>
      </c>
      <c r="D641" s="14">
        <v>-0.58643522639829804</v>
      </c>
    </row>
    <row r="642" spans="1:4" x14ac:dyDescent="0.55000000000000004">
      <c r="A642" s="8">
        <f t="shared" si="17"/>
        <v>3.19000000000004E-2</v>
      </c>
      <c r="B642" s="8" cm="1">
        <f t="array" ref="B642">FAM(A642)</f>
        <v>-0.82286471836333774</v>
      </c>
      <c r="C642" s="14">
        <v>-5.4371780366776706E-15</v>
      </c>
      <c r="D642" s="14">
        <v>-0.82286471836333774</v>
      </c>
    </row>
    <row r="643" spans="1:4" x14ac:dyDescent="0.55000000000000004">
      <c r="A643" s="8">
        <f t="shared" si="17"/>
        <v>3.1950000000000402E-2</v>
      </c>
      <c r="B643" s="8" cm="1">
        <f t="array" ref="B643">FAM(A643)</f>
        <v>-0.57675939012144939</v>
      </c>
      <c r="C643" s="14">
        <v>-6.3700027484819895E-15</v>
      </c>
      <c r="D643" s="14">
        <v>-0.57675939012144939</v>
      </c>
    </row>
    <row r="644" spans="1:4" x14ac:dyDescent="0.55000000000000004">
      <c r="A644" s="8">
        <f t="shared" si="17"/>
        <v>3.2000000000000403E-2</v>
      </c>
      <c r="B644" s="8" cm="1">
        <f t="array" ref="B644">FAM(A644)</f>
        <v>4.7135527370439935E-12</v>
      </c>
      <c r="C644" s="14">
        <v>-5.3693505393534727E-15</v>
      </c>
      <c r="D644" s="14">
        <v>4.7135330411454134E-12</v>
      </c>
    </row>
    <row r="645" spans="1:4" x14ac:dyDescent="0.55000000000000004">
      <c r="A645" s="8">
        <f t="shared" si="17"/>
        <v>3.2050000000000405E-2</v>
      </c>
      <c r="B645" s="8" cm="1">
        <f t="array" ref="B645">FAM(A645)</f>
        <v>0.56513677806531826</v>
      </c>
      <c r="C645" s="14">
        <v>-6.1751930107954103E-15</v>
      </c>
      <c r="D645" s="14">
        <v>0.56513677806531859</v>
      </c>
    </row>
    <row r="646" spans="1:4" x14ac:dyDescent="0.55000000000000004">
      <c r="A646" s="8">
        <f t="shared" ref="A646:A709" si="18">A645+0.00005</f>
        <v>3.2100000000000406E-2</v>
      </c>
      <c r="B646" s="8" cm="1">
        <f t="array" ref="B646">FAM(A646)</f>
        <v>0.79006736704599911</v>
      </c>
      <c r="C646" s="14">
        <v>-5.2369855357813462E-15</v>
      </c>
      <c r="D646" s="14">
        <v>0.79006736704599911</v>
      </c>
    </row>
    <row r="647" spans="1:4" x14ac:dyDescent="0.55000000000000004">
      <c r="A647" s="8">
        <f t="shared" si="18"/>
        <v>3.2150000000000407E-2</v>
      </c>
      <c r="B647" s="8" cm="1">
        <f t="array" ref="B647">FAM(A647)</f>
        <v>0.5517831475089845</v>
      </c>
      <c r="C647" s="14">
        <v>-6.3621539372370552E-15</v>
      </c>
      <c r="D647" s="14">
        <v>0.55178314750898494</v>
      </c>
    </row>
    <row r="648" spans="1:4" x14ac:dyDescent="0.55000000000000004">
      <c r="A648" s="8">
        <f t="shared" si="18"/>
        <v>3.2200000000000409E-2</v>
      </c>
      <c r="B648" s="8" cm="1">
        <f t="array" ref="B648">FAM(A648)</f>
        <v>-4.5291166586334101E-12</v>
      </c>
      <c r="C648" s="14">
        <v>-5.0860083154822365E-15</v>
      </c>
      <c r="D648" s="14">
        <v>-4.5291032921551916E-12</v>
      </c>
    </row>
    <row r="649" spans="1:4" x14ac:dyDescent="0.55000000000000004">
      <c r="A649" s="8">
        <f t="shared" si="18"/>
        <v>3.225000000000041E-2</v>
      </c>
      <c r="B649" s="8" cm="1">
        <f t="array" ref="B649">FAM(A649)</f>
        <v>-0.53693521770801089</v>
      </c>
      <c r="C649" s="14">
        <v>-6.6055294171376426E-15</v>
      </c>
      <c r="D649" s="14">
        <v>-0.536935217708011</v>
      </c>
    </row>
    <row r="650" spans="1:4" x14ac:dyDescent="0.55000000000000004">
      <c r="A650" s="8">
        <f t="shared" si="18"/>
        <v>3.2300000000000412E-2</v>
      </c>
      <c r="B650" s="8" cm="1">
        <f t="array" ref="B650">FAM(A650)</f>
        <v>-0.74816091769578097</v>
      </c>
      <c r="C650" s="14">
        <v>-5.4970797421151513E-15</v>
      </c>
      <c r="D650" s="14">
        <v>-0.74816091769578075</v>
      </c>
    </row>
    <row r="651" spans="1:4" x14ac:dyDescent="0.55000000000000004">
      <c r="A651" s="8">
        <f t="shared" si="18"/>
        <v>3.2350000000000413E-2</v>
      </c>
      <c r="B651" s="8" cm="1">
        <f t="array" ref="B651">FAM(A651)</f>
        <v>-0.52084683348479843</v>
      </c>
      <c r="C651" s="14">
        <v>-6.5777327521983629E-15</v>
      </c>
      <c r="D651" s="14">
        <v>-0.52084683348479854</v>
      </c>
    </row>
    <row r="652" spans="1:4" x14ac:dyDescent="0.55000000000000004">
      <c r="A652" s="8">
        <f t="shared" si="18"/>
        <v>3.2400000000000415E-2</v>
      </c>
      <c r="B652" s="8" cm="1">
        <f t="array" ref="B652">FAM(A652)</f>
        <v>4.3366160798414157E-12</v>
      </c>
      <c r="C652" s="14">
        <v>-5.401277809678531E-15</v>
      </c>
      <c r="D652" s="14">
        <v>4.3365907258464895E-12</v>
      </c>
    </row>
    <row r="653" spans="1:4" x14ac:dyDescent="0.55000000000000004">
      <c r="A653" s="8">
        <f t="shared" si="18"/>
        <v>3.2450000000000416E-2</v>
      </c>
      <c r="B653" s="8" cm="1">
        <f t="array" ref="B653">FAM(A653)</f>
        <v>0.50378488436192537</v>
      </c>
      <c r="C653" s="36">
        <v>-6.3149963928367061E-15</v>
      </c>
      <c r="D653" s="36">
        <v>0.50378488436192548</v>
      </c>
    </row>
    <row r="654" spans="1:4" x14ac:dyDescent="0.55000000000000004">
      <c r="A654" s="4">
        <f t="shared" si="18"/>
        <v>3.2500000000000417E-2</v>
      </c>
      <c r="B654" s="4" cm="1">
        <f t="array" ref="B654">FAM(A654)</f>
        <v>0.69999999999990303</v>
      </c>
      <c r="C654" s="13">
        <v>-4.9480107543406081E-15</v>
      </c>
      <c r="D654" s="13">
        <v>0.69999999999990292</v>
      </c>
    </row>
    <row r="655" spans="1:4" x14ac:dyDescent="0.55000000000000004">
      <c r="A655" s="8">
        <f t="shared" si="18"/>
        <v>3.2550000000000419E-2</v>
      </c>
      <c r="B655" s="8" cm="1">
        <f t="array" ref="B655">FAM(A655)</f>
        <v>0.48602504349458803</v>
      </c>
      <c r="C655" s="14">
        <v>-6.2539252434355416E-15</v>
      </c>
      <c r="D655" s="14">
        <v>0.48602504349458842</v>
      </c>
    </row>
    <row r="656" spans="1:4" x14ac:dyDescent="0.55000000000000004">
      <c r="A656" s="8">
        <f t="shared" si="18"/>
        <v>3.260000000000042E-2</v>
      </c>
      <c r="B656" s="8" cm="1">
        <f t="array" ref="B656">FAM(A656)</f>
        <v>-4.1060203129815384E-12</v>
      </c>
      <c r="C656" s="14">
        <v>-4.8852595206040459E-15</v>
      </c>
      <c r="D656" s="14">
        <v>-4.1060041942707036E-12</v>
      </c>
    </row>
    <row r="657" spans="1:4" x14ac:dyDescent="0.55000000000000004">
      <c r="A657" s="8">
        <f t="shared" si="18"/>
        <v>3.2650000000000422E-2</v>
      </c>
      <c r="B657" s="8" cm="1">
        <f t="array" ref="B657">FAM(A657)</f>
        <v>-0.46784739420624089</v>
      </c>
      <c r="C657" s="14">
        <v>-6.6387082396497588E-15</v>
      </c>
      <c r="D657" s="14">
        <v>-0.46784739420624094</v>
      </c>
    </row>
    <row r="658" spans="1:4" x14ac:dyDescent="0.55000000000000004">
      <c r="A658" s="8">
        <f t="shared" si="18"/>
        <v>3.2700000000000423E-2</v>
      </c>
      <c r="B658" s="8" cm="1">
        <f t="array" ref="B658">FAM(A658)</f>
        <v>-0.64868496282982335</v>
      </c>
      <c r="C658" s="14">
        <v>-5.2144258639382948E-15</v>
      </c>
      <c r="D658" s="14">
        <v>-0.64868496282982324</v>
      </c>
    </row>
    <row r="659" spans="1:4" x14ac:dyDescent="0.55000000000000004">
      <c r="A659" s="8">
        <f t="shared" si="18"/>
        <v>3.2750000000000425E-2</v>
      </c>
      <c r="B659" s="8" cm="1">
        <f t="array" ref="B659">FAM(A659)</f>
        <v>-0.44953201281231631</v>
      </c>
      <c r="C659" s="14">
        <v>-6.1341416560878396E-15</v>
      </c>
      <c r="D659" s="14">
        <v>-0.44953201281231631</v>
      </c>
    </row>
    <row r="660" spans="1:4" x14ac:dyDescent="0.55000000000000004">
      <c r="A660" s="8">
        <f t="shared" si="18"/>
        <v>3.2800000000000426E-2</v>
      </c>
      <c r="B660" s="8" cm="1">
        <f t="array" ref="B660">FAM(A660)</f>
        <v>3.8553703560391671E-12</v>
      </c>
      <c r="C660" s="14">
        <v>-4.8265840593855078E-15</v>
      </c>
      <c r="D660" s="14">
        <v>3.8553447911368724E-12</v>
      </c>
    </row>
    <row r="661" spans="1:4" x14ac:dyDescent="0.55000000000000004">
      <c r="A661" s="8">
        <f t="shared" si="18"/>
        <v>3.2850000000000427E-2</v>
      </c>
      <c r="B661" s="8" cm="1">
        <f t="array" ref="B661">FAM(A661)</f>
        <v>0.43135457777306746</v>
      </c>
      <c r="C661" s="14">
        <v>-6.0426564612977236E-15</v>
      </c>
      <c r="D661" s="14">
        <v>0.43135457777306757</v>
      </c>
    </row>
    <row r="662" spans="1:4" x14ac:dyDescent="0.55000000000000004">
      <c r="A662" s="8">
        <f t="shared" si="18"/>
        <v>3.2900000000000429E-2</v>
      </c>
      <c r="B662" s="8" cm="1">
        <f t="array" ref="B662">FAM(A662)</f>
        <v>0.59736589740528379</v>
      </c>
      <c r="C662" s="14">
        <v>-5.0600724642101764E-15</v>
      </c>
      <c r="D662" s="14">
        <v>0.59736589740528367</v>
      </c>
    </row>
    <row r="663" spans="1:4" x14ac:dyDescent="0.55000000000000004">
      <c r="A663" s="8">
        <f t="shared" si="18"/>
        <v>3.295000000000043E-2</v>
      </c>
      <c r="B663" s="8" cm="1">
        <f t="array" ref="B663">FAM(A663)</f>
        <v>0.41358207395097313</v>
      </c>
      <c r="C663" s="14">
        <v>-6.3362817472164556E-15</v>
      </c>
      <c r="D663" s="14">
        <v>0.41358207395097324</v>
      </c>
    </row>
    <row r="664" spans="1:4" x14ac:dyDescent="0.55000000000000004">
      <c r="A664" s="8">
        <f t="shared" si="18"/>
        <v>3.3000000000000432E-2</v>
      </c>
      <c r="B664" s="8" cm="1">
        <f t="array" ref="B664">FAM(A664)</f>
        <v>-3.6036934763687124E-12</v>
      </c>
      <c r="C664" s="14">
        <v>-5.0166660252069303E-15</v>
      </c>
      <c r="D664" s="14">
        <v>-3.6036794166399702E-12</v>
      </c>
    </row>
    <row r="665" spans="1:4" x14ac:dyDescent="0.55000000000000004">
      <c r="A665" s="8">
        <f t="shared" si="18"/>
        <v>3.3050000000000433E-2</v>
      </c>
      <c r="B665" s="8" cm="1">
        <f t="array" ref="B665">FAM(A665)</f>
        <v>-0.39646865987034274</v>
      </c>
      <c r="C665" s="14">
        <v>-6.5748946872493033E-15</v>
      </c>
      <c r="D665" s="14">
        <v>-0.39646865987034274</v>
      </c>
    </row>
    <row r="666" spans="1:4" x14ac:dyDescent="0.55000000000000004">
      <c r="A666" s="8">
        <f t="shared" si="18"/>
        <v>3.3100000000000435E-2</v>
      </c>
      <c r="B666" s="8" cm="1">
        <f t="array" ref="B666">FAM(A666)</f>
        <v>-0.54904587599182086</v>
      </c>
      <c r="C666" s="14">
        <v>-5.0064604522382299E-15</v>
      </c>
      <c r="D666" s="14">
        <v>-0.54904587599182075</v>
      </c>
    </row>
    <row r="667" spans="1:4" x14ac:dyDescent="0.55000000000000004">
      <c r="A667" s="8">
        <f t="shared" si="18"/>
        <v>3.3150000000000436E-2</v>
      </c>
      <c r="B667" s="8" cm="1">
        <f t="array" ref="B667">FAM(A667)</f>
        <v>-0.38025176250371695</v>
      </c>
      <c r="C667" s="14">
        <v>-6.760775501008872E-15</v>
      </c>
      <c r="D667" s="14">
        <v>-0.38025176250371695</v>
      </c>
    </row>
    <row r="668" spans="1:4" x14ac:dyDescent="0.55000000000000004">
      <c r="A668" s="8">
        <f t="shared" si="18"/>
        <v>3.3200000000000437E-2</v>
      </c>
      <c r="B668" s="8" cm="1">
        <f t="array" ref="B668">FAM(A668)</f>
        <v>3.3098493028698495E-12</v>
      </c>
      <c r="C668" s="14">
        <v>-5.2644978453794506E-15</v>
      </c>
      <c r="D668" s="14">
        <v>3.309828643382374E-12</v>
      </c>
    </row>
    <row r="669" spans="1:4" x14ac:dyDescent="0.55000000000000004">
      <c r="A669" s="8">
        <f t="shared" si="18"/>
        <v>3.3250000000000439E-2</v>
      </c>
      <c r="B669" s="8" cm="1">
        <f t="array" ref="B669">FAM(A669)</f>
        <v>0.36514846109901211</v>
      </c>
      <c r="C669" s="14">
        <v>-6.5097917791483577E-15</v>
      </c>
      <c r="D669" s="14">
        <v>0.36514846109901228</v>
      </c>
    </row>
    <row r="670" spans="1:4" x14ac:dyDescent="0.55000000000000004">
      <c r="A670" s="8">
        <f t="shared" si="18"/>
        <v>3.330000000000044E-2</v>
      </c>
      <c r="B670" s="8" cm="1">
        <f t="array" ref="B670">FAM(A670)</f>
        <v>0.50639575090829081</v>
      </c>
      <c r="C670" s="14">
        <v>-4.4370702547014281E-15</v>
      </c>
      <c r="D670" s="14">
        <v>0.50639575090829081</v>
      </c>
    </row>
    <row r="671" spans="1:4" x14ac:dyDescent="0.55000000000000004">
      <c r="A671" s="8">
        <f t="shared" si="18"/>
        <v>3.3350000000000442E-2</v>
      </c>
      <c r="B671" s="8" cm="1">
        <f t="array" ref="B671">FAM(A671)</f>
        <v>0.35135221624869756</v>
      </c>
      <c r="C671" s="14">
        <v>-5.8846341420995947E-15</v>
      </c>
      <c r="D671" s="14">
        <v>0.35135221624869772</v>
      </c>
    </row>
    <row r="672" spans="1:4" x14ac:dyDescent="0.55000000000000004">
      <c r="A672" s="8">
        <f t="shared" si="18"/>
        <v>3.3400000000000443E-2</v>
      </c>
      <c r="B672" s="8" cm="1">
        <f t="array" ref="B672">FAM(A672)</f>
        <v>-3.1152870924960878E-12</v>
      </c>
      <c r="C672" s="14">
        <v>-5.2217903430374339E-15</v>
      </c>
      <c r="D672" s="14">
        <v>-3.1152789587814607E-12</v>
      </c>
    </row>
    <row r="673" spans="1:4" x14ac:dyDescent="0.55000000000000004">
      <c r="A673" s="8">
        <f t="shared" si="18"/>
        <v>3.3450000000000445E-2</v>
      </c>
      <c r="B673" s="8" cm="1">
        <f t="array" ref="B673">FAM(A673)</f>
        <v>-0.33902999549498419</v>
      </c>
      <c r="C673" s="14">
        <v>-6.6553115311401408E-15</v>
      </c>
      <c r="D673" s="14">
        <v>-0.33902999549498425</v>
      </c>
    </row>
    <row r="674" spans="1:4" x14ac:dyDescent="0.55000000000000004">
      <c r="A674" s="8">
        <f t="shared" si="18"/>
        <v>3.3500000000000446E-2</v>
      </c>
      <c r="B674" s="8" cm="1">
        <f t="array" ref="B674">FAM(A674)</f>
        <v>-0.47159209561589599</v>
      </c>
      <c r="C674" s="14">
        <v>-5.3043303428449684E-15</v>
      </c>
      <c r="D674" s="14">
        <v>-0.47159209561589582</v>
      </c>
    </row>
    <row r="675" spans="1:4" x14ac:dyDescent="0.55000000000000004">
      <c r="A675" s="8">
        <f t="shared" si="18"/>
        <v>3.3550000000000448E-2</v>
      </c>
      <c r="B675" s="8" cm="1">
        <f t="array" ref="B675">FAM(A675)</f>
        <v>-0.32831983980353957</v>
      </c>
      <c r="C675" s="14">
        <v>-7.0490994974387818E-15</v>
      </c>
      <c r="D675" s="14">
        <v>-0.32831983980353963</v>
      </c>
    </row>
    <row r="676" spans="1:4" x14ac:dyDescent="0.55000000000000004">
      <c r="A676" s="8">
        <f t="shared" si="18"/>
        <v>3.3600000000000449E-2</v>
      </c>
      <c r="B676" s="8" cm="1">
        <f t="array" ref="B676">FAM(A676)</f>
        <v>2.9692008543530982E-12</v>
      </c>
      <c r="C676" s="14">
        <v>-4.6306482585111883E-15</v>
      </c>
      <c r="D676" s="14">
        <v>2.9691886959350045E-12</v>
      </c>
    </row>
    <row r="677" spans="1:4" x14ac:dyDescent="0.55000000000000004">
      <c r="A677" s="8">
        <f t="shared" si="18"/>
        <v>3.365000000000045E-2</v>
      </c>
      <c r="B677" s="8" cm="1">
        <f t="array" ref="B677">FAM(A677)</f>
        <v>0.31932890878823</v>
      </c>
      <c r="C677" s="14">
        <v>-6.1950495155014927E-15</v>
      </c>
      <c r="D677" s="14">
        <v>0.31932890878823</v>
      </c>
    </row>
    <row r="678" spans="1:4" x14ac:dyDescent="0.55000000000000004">
      <c r="A678" s="8">
        <f t="shared" si="18"/>
        <v>3.3700000000000452E-2</v>
      </c>
      <c r="B678" s="8" cm="1">
        <f t="array" ref="B678">FAM(A678)</f>
        <v>0.44618837979858533</v>
      </c>
      <c r="C678" s="14">
        <v>-4.8546963977853373E-15</v>
      </c>
      <c r="D678" s="14">
        <v>0.44618837979858533</v>
      </c>
    </row>
    <row r="679" spans="1:4" x14ac:dyDescent="0.55000000000000004">
      <c r="A679" s="8">
        <f t="shared" si="18"/>
        <v>3.3750000000000453E-2</v>
      </c>
      <c r="B679" s="8" cm="1">
        <f t="array" ref="B679">FAM(A679)</f>
        <v>0.31213203435387088</v>
      </c>
      <c r="C679" s="14">
        <v>-8.292502212308036E-15</v>
      </c>
      <c r="D679" s="14">
        <v>0.31213203435387105</v>
      </c>
    </row>
    <row r="680" spans="1:4" x14ac:dyDescent="0.55000000000000004">
      <c r="A680" s="8">
        <f t="shared" si="18"/>
        <v>3.3800000000000455E-2</v>
      </c>
      <c r="B680" s="8" cm="1">
        <f t="array" ref="B680">FAM(A680)</f>
        <v>-2.8822290165901845E-12</v>
      </c>
      <c r="C680" s="14">
        <v>-4.5856086564066773E-15</v>
      </c>
      <c r="D680" s="14">
        <v>-2.882228750654516E-12</v>
      </c>
    </row>
    <row r="681" spans="1:4" x14ac:dyDescent="0.55000000000000004">
      <c r="A681" s="8">
        <f t="shared" si="18"/>
        <v>3.3850000000000456E-2</v>
      </c>
      <c r="B681" s="8" cm="1">
        <f t="array" ref="B681">FAM(A681)</f>
        <v>-0.30677080488233144</v>
      </c>
      <c r="C681" s="14">
        <v>-6.7377630821140197E-15</v>
      </c>
      <c r="D681" s="14">
        <v>-0.30677080488233144</v>
      </c>
    </row>
    <row r="682" spans="1:4" x14ac:dyDescent="0.55000000000000004">
      <c r="A682" s="8">
        <f t="shared" si="18"/>
        <v>3.3900000000000458E-2</v>
      </c>
      <c r="B682" s="8" cm="1">
        <f t="array" ref="B682">FAM(A682)</f>
        <v>-0.43102734780397917</v>
      </c>
      <c r="C682" s="14">
        <v>-2.3003920313574134E-15</v>
      </c>
      <c r="D682" s="14">
        <v>-0.43102734780397906</v>
      </c>
    </row>
    <row r="683" spans="1:4" x14ac:dyDescent="0.55000000000000004">
      <c r="A683" s="8">
        <f t="shared" si="18"/>
        <v>3.3950000000000459E-2</v>
      </c>
      <c r="B683" s="8" cm="1">
        <f t="array" ref="B683">FAM(A683)</f>
        <v>-0.30325319309084364</v>
      </c>
      <c r="C683" s="14">
        <v>-4.7397812405029064E-15</v>
      </c>
      <c r="D683" s="14">
        <v>-0.30325319309084364</v>
      </c>
    </row>
    <row r="684" spans="1:4" x14ac:dyDescent="0.55000000000000004">
      <c r="A684" s="8">
        <f t="shared" si="18"/>
        <v>3.400000000000046E-2</v>
      </c>
      <c r="B684" s="8" cm="1">
        <f t="array" ref="B684">FAM(A684)</f>
        <v>2.8605711750992117E-12</v>
      </c>
      <c r="C684" s="14">
        <v>-2.8695663985769269E-15</v>
      </c>
      <c r="D684" s="14">
        <v>2.8605687984278046E-12</v>
      </c>
    </row>
    <row r="685" spans="1:4" x14ac:dyDescent="0.55000000000000004">
      <c r="A685" s="8">
        <f t="shared" si="18"/>
        <v>3.4050000000000462E-2</v>
      </c>
      <c r="B685" s="8" cm="1">
        <f t="array" ref="B685">FAM(A685)</f>
        <v>0.30155373257769974</v>
      </c>
      <c r="C685" s="14">
        <v>-4.699962486628651E-15</v>
      </c>
      <c r="D685" s="14">
        <v>0.30155373257770002</v>
      </c>
    </row>
    <row r="686" spans="1:4" x14ac:dyDescent="0.55000000000000004">
      <c r="A686" s="8">
        <f t="shared" si="18"/>
        <v>3.4100000000000463E-2</v>
      </c>
      <c r="B686" s="8" cm="1">
        <f t="array" ref="B686">FAM(A686)</f>
        <v>0.42619994850259579</v>
      </c>
      <c r="C686" s="14">
        <v>-5.4290049064731311E-15</v>
      </c>
      <c r="D686" s="14">
        <v>0.42619994850259596</v>
      </c>
    </row>
    <row r="687" spans="1:4" x14ac:dyDescent="0.55000000000000004">
      <c r="A687" s="8">
        <f t="shared" si="18"/>
        <v>3.4150000000000465E-2</v>
      </c>
      <c r="B687" s="8" cm="1">
        <f t="array" ref="B687">FAM(A687)</f>
        <v>0.30161423881601301</v>
      </c>
      <c r="C687" s="14">
        <v>-6.2551742689199668E-15</v>
      </c>
      <c r="D687" s="14">
        <v>0.30161423881601318</v>
      </c>
    </row>
    <row r="688" spans="1:4" x14ac:dyDescent="0.55000000000000004">
      <c r="A688" s="8">
        <f t="shared" si="18"/>
        <v>3.4200000000000466E-2</v>
      </c>
      <c r="B688" s="8" cm="1">
        <f t="array" ref="B688">FAM(A688)</f>
        <v>-2.9054951950609544E-12</v>
      </c>
      <c r="C688" s="14">
        <v>-5.2581627021328177E-15</v>
      </c>
      <c r="D688" s="14">
        <v>-2.9055023374591812E-12</v>
      </c>
    </row>
    <row r="689" spans="1:4" x14ac:dyDescent="0.55000000000000004">
      <c r="A689" s="8">
        <f t="shared" si="18"/>
        <v>3.4250000000000468E-2</v>
      </c>
      <c r="B689" s="8" cm="1">
        <f t="array" ref="B689">FAM(A689)</f>
        <v>-0.30334506222382068</v>
      </c>
      <c r="C689" s="14">
        <v>-6.3908493965802913E-15</v>
      </c>
      <c r="D689" s="14">
        <v>-0.30334506222382068</v>
      </c>
    </row>
    <row r="690" spans="1:4" x14ac:dyDescent="0.55000000000000004">
      <c r="A690" s="8">
        <f t="shared" si="18"/>
        <v>3.4300000000000469E-2</v>
      </c>
      <c r="B690" s="8" cm="1">
        <f t="array" ref="B690">FAM(A690)</f>
        <v>-0.43105320975787681</v>
      </c>
      <c r="C690" s="14">
        <v>-4.6389296835278734E-15</v>
      </c>
      <c r="D690" s="14">
        <v>-0.43105320975787681</v>
      </c>
    </row>
    <row r="691" spans="1:4" x14ac:dyDescent="0.55000000000000004">
      <c r="A691" s="8">
        <f t="shared" si="18"/>
        <v>3.435000000000047E-2</v>
      </c>
      <c r="B691" s="8" cm="1">
        <f t="array" ref="B691">FAM(A691)</f>
        <v>-0.30662685196717226</v>
      </c>
      <c r="C691" s="14">
        <v>-6.5007395647257415E-15</v>
      </c>
      <c r="D691" s="14">
        <v>-0.30662685196717232</v>
      </c>
    </row>
    <row r="692" spans="1:4" x14ac:dyDescent="0.55000000000000004">
      <c r="A692" s="8">
        <f t="shared" si="18"/>
        <v>3.4400000000000472E-2</v>
      </c>
      <c r="B692" s="8" cm="1">
        <f t="array" ref="B692">FAM(A692)</f>
        <v>3.0131719384105248E-12</v>
      </c>
      <c r="C692" s="14">
        <v>-4.8843531941522932E-15</v>
      </c>
      <c r="D692" s="14">
        <v>3.0131781008867647E-12</v>
      </c>
    </row>
    <row r="693" spans="1:4" x14ac:dyDescent="0.55000000000000004">
      <c r="A693" s="8">
        <f t="shared" si="18"/>
        <v>3.4450000000000473E-2</v>
      </c>
      <c r="B693" s="8" cm="1">
        <f t="array" ref="B693">FAM(A693)</f>
        <v>0.31131280155707358</v>
      </c>
      <c r="C693" s="14">
        <v>-6.6758443489114611E-15</v>
      </c>
      <c r="D693" s="14">
        <v>0.31131280155707358</v>
      </c>
    </row>
    <row r="694" spans="1:4" x14ac:dyDescent="0.55000000000000004">
      <c r="A694" s="8">
        <f t="shared" si="18"/>
        <v>3.4500000000000475E-2</v>
      </c>
      <c r="B694" s="8" cm="1">
        <f t="array" ref="B694">FAM(A694)</f>
        <v>0.44424634841653149</v>
      </c>
      <c r="C694" s="14">
        <v>-4.1653384585065004E-15</v>
      </c>
      <c r="D694" s="14">
        <v>0.44424634841653154</v>
      </c>
    </row>
    <row r="695" spans="1:4" x14ac:dyDescent="0.55000000000000004">
      <c r="A695" s="8">
        <f t="shared" si="18"/>
        <v>3.4550000000000476E-2</v>
      </c>
      <c r="B695" s="8" cm="1">
        <f t="array" ref="B695">FAM(A695)</f>
        <v>0.3172313391311013</v>
      </c>
      <c r="C695" s="14">
        <v>-6.0499360215787234E-15</v>
      </c>
      <c r="D695" s="14">
        <v>0.31723133913110146</v>
      </c>
    </row>
    <row r="696" spans="1:4" x14ac:dyDescent="0.55000000000000004">
      <c r="A696" s="8">
        <f t="shared" si="18"/>
        <v>3.4600000000000478E-2</v>
      </c>
      <c r="B696" s="8" cm="1">
        <f t="array" ref="B696">FAM(A696)</f>
        <v>-3.1233129502499467E-12</v>
      </c>
      <c r="C696" s="14">
        <v>-4.0686476811891991E-15</v>
      </c>
      <c r="D696" s="14">
        <v>-3.123324786990067E-12</v>
      </c>
    </row>
    <row r="697" spans="1:4" x14ac:dyDescent="0.55000000000000004">
      <c r="A697" s="8">
        <f t="shared" si="18"/>
        <v>3.4650000000000479E-2</v>
      </c>
      <c r="B697" s="8" cm="1">
        <f t="array" ref="B697">FAM(A697)</f>
        <v>-0.32418921877697521</v>
      </c>
      <c r="C697" s="14">
        <v>-5.9995148577471129E-15</v>
      </c>
      <c r="D697" s="14">
        <v>-0.32418921877697521</v>
      </c>
    </row>
    <row r="698" spans="1:4" x14ac:dyDescent="0.55000000000000004">
      <c r="A698" s="8">
        <f t="shared" si="18"/>
        <v>3.470000000000048E-2</v>
      </c>
      <c r="B698" s="8" cm="1">
        <f t="array" ref="B698">FAM(A698)</f>
        <v>-0.4638513523802586</v>
      </c>
      <c r="C698" s="14">
        <v>-4.6065566966889901E-15</v>
      </c>
      <c r="D698" s="14">
        <v>-0.46385135238025871</v>
      </c>
    </row>
    <row r="699" spans="1:4" x14ac:dyDescent="0.55000000000000004">
      <c r="A699" s="8">
        <f t="shared" si="18"/>
        <v>3.4750000000000482E-2</v>
      </c>
      <c r="B699" s="8" cm="1">
        <f t="array" ref="B699">FAM(A699)</f>
        <v>-0.33197496235434376</v>
      </c>
      <c r="C699" s="14">
        <v>-6.5227776287350713E-15</v>
      </c>
      <c r="D699" s="14">
        <v>-0.33197496235434371</v>
      </c>
    </row>
    <row r="700" spans="1:4" x14ac:dyDescent="0.55000000000000004">
      <c r="A700" s="8">
        <f t="shared" si="18"/>
        <v>3.4800000000000483E-2</v>
      </c>
      <c r="B700" s="8" cm="1">
        <f t="array" ref="B700">FAM(A700)</f>
        <v>3.3233782478958324E-12</v>
      </c>
      <c r="C700" s="14">
        <v>-4.7890738010075036E-15</v>
      </c>
      <c r="D700" s="14">
        <v>3.3233896060672856E-12</v>
      </c>
    </row>
    <row r="701" spans="1:4" x14ac:dyDescent="0.55000000000000004">
      <c r="A701" s="8">
        <f t="shared" si="18"/>
        <v>3.4850000000000485E-2</v>
      </c>
      <c r="B701" s="8" cm="1">
        <f t="array" ref="B701">FAM(A701)</f>
        <v>0.34036259625618709</v>
      </c>
      <c r="C701" s="14">
        <v>-6.7342854877499826E-15</v>
      </c>
      <c r="D701" s="14">
        <v>0.34036259625618726</v>
      </c>
    </row>
    <row r="702" spans="1:4" x14ac:dyDescent="0.55000000000000004">
      <c r="A702" s="8">
        <f t="shared" si="18"/>
        <v>3.4900000000000486E-2</v>
      </c>
      <c r="B702" s="8" cm="1">
        <f t="array" ref="B702">FAM(A702)</f>
        <v>0.48749145719305781</v>
      </c>
      <c r="C702" s="14">
        <v>-4.1738503341649179E-15</v>
      </c>
      <c r="D702" s="14">
        <v>0.48749145719305775</v>
      </c>
    </row>
    <row r="703" spans="1:4" x14ac:dyDescent="0.55000000000000004">
      <c r="A703" s="8">
        <f t="shared" si="18"/>
        <v>3.4950000000000488E-2</v>
      </c>
      <c r="B703" s="8" cm="1">
        <f t="array" ref="B703">FAM(A703)</f>
        <v>0.34911562230941778</v>
      </c>
      <c r="C703" s="36">
        <v>-6.7579272856962796E-15</v>
      </c>
      <c r="D703" s="36">
        <v>0.34911562230941789</v>
      </c>
    </row>
    <row r="704" spans="1:4" x14ac:dyDescent="0.55000000000000004">
      <c r="A704" s="4">
        <f t="shared" si="18"/>
        <v>3.5000000000000489E-2</v>
      </c>
      <c r="B704" s="4" cm="1">
        <f t="array" ref="B704">FAM(A704)</f>
        <v>-3.5473270898265641E-12</v>
      </c>
      <c r="C704" s="13">
        <v>-3.9828131848408851E-15</v>
      </c>
      <c r="D704" s="13">
        <v>-3.5473393832821291E-12</v>
      </c>
    </row>
    <row r="705" spans="1:4" x14ac:dyDescent="0.55000000000000004">
      <c r="A705" s="8">
        <f t="shared" si="18"/>
        <v>3.505000000000049E-2</v>
      </c>
      <c r="B705" s="8" cm="1">
        <f t="array" ref="B705">FAM(A705)</f>
        <v>-0.35799115887729183</v>
      </c>
      <c r="C705" s="14">
        <v>-6.1768844745574391E-15</v>
      </c>
      <c r="D705" s="14">
        <v>-0.35799115887729183</v>
      </c>
    </row>
    <row r="706" spans="1:4" x14ac:dyDescent="0.55000000000000004">
      <c r="A706" s="8">
        <f t="shared" si="18"/>
        <v>3.5100000000000492E-2</v>
      </c>
      <c r="B706" s="8" cm="1">
        <f t="array" ref="B706">FAM(A706)</f>
        <v>-0.51250854280705471</v>
      </c>
      <c r="C706" s="14">
        <v>-3.8050717373244424E-15</v>
      </c>
      <c r="D706" s="14">
        <v>-0.51250854280705471</v>
      </c>
    </row>
    <row r="707" spans="1:4" x14ac:dyDescent="0.55000000000000004">
      <c r="A707" s="8">
        <f t="shared" si="18"/>
        <v>3.5150000000000493E-2</v>
      </c>
      <c r="B707" s="8" cm="1">
        <f t="array" ref="B707">FAM(A707)</f>
        <v>-0.36674418493019534</v>
      </c>
      <c r="C707" s="14">
        <v>-6.0242739278798224E-15</v>
      </c>
      <c r="D707" s="14">
        <v>-0.36674418493019528</v>
      </c>
    </row>
    <row r="708" spans="1:4" x14ac:dyDescent="0.55000000000000004">
      <c r="A708" s="8">
        <f t="shared" si="18"/>
        <v>3.5200000000000495E-2</v>
      </c>
      <c r="B708" s="8" cm="1">
        <f t="array" ref="B708">FAM(A708)</f>
        <v>3.7763535991231835E-12</v>
      </c>
      <c r="C708" s="14">
        <v>-4.0902171796787973E-15</v>
      </c>
      <c r="D708" s="14">
        <v>3.7763656501000665E-12</v>
      </c>
    </row>
    <row r="709" spans="1:4" x14ac:dyDescent="0.55000000000000004">
      <c r="A709" s="8">
        <f t="shared" si="18"/>
        <v>3.5250000000000496E-2</v>
      </c>
      <c r="B709" s="8" cm="1">
        <f t="array" ref="B709">FAM(A709)</f>
        <v>0.37513181883267666</v>
      </c>
      <c r="C709" s="14">
        <v>-6.3877089825884838E-15</v>
      </c>
      <c r="D709" s="14">
        <v>0.37513181883267682</v>
      </c>
    </row>
    <row r="710" spans="1:4" x14ac:dyDescent="0.55000000000000004">
      <c r="A710" s="8">
        <f t="shared" ref="A710:A773" si="19">A709+0.00005</f>
        <v>3.5300000000000498E-2</v>
      </c>
      <c r="B710" s="8" cm="1">
        <f t="array" ref="B710">FAM(A710)</f>
        <v>0.53614864761984149</v>
      </c>
      <c r="C710" s="14">
        <v>-4.341381905187173E-15</v>
      </c>
      <c r="D710" s="14">
        <v>0.5361486476198416</v>
      </c>
    </row>
    <row r="711" spans="1:4" x14ac:dyDescent="0.55000000000000004">
      <c r="A711" s="8">
        <f t="shared" si="19"/>
        <v>3.5350000000000499E-2</v>
      </c>
      <c r="B711" s="8" cm="1">
        <f t="array" ref="B711">FAM(A711)</f>
        <v>0.38291756240913577</v>
      </c>
      <c r="C711" s="14">
        <v>-6.3941293452192013E-15</v>
      </c>
      <c r="D711" s="14">
        <v>0.38291756240913594</v>
      </c>
    </row>
    <row r="712" spans="1:4" x14ac:dyDescent="0.55000000000000004">
      <c r="A712" s="8">
        <f t="shared" si="19"/>
        <v>3.5400000000000501E-2</v>
      </c>
      <c r="B712" s="8" cm="1">
        <f t="array" ref="B712">FAM(A712)</f>
        <v>-3.9905282023074592E-12</v>
      </c>
      <c r="C712" s="14">
        <v>-4.0609598403873438E-15</v>
      </c>
      <c r="D712" s="14">
        <v>-3.990536321822607E-12</v>
      </c>
    </row>
    <row r="713" spans="1:4" x14ac:dyDescent="0.55000000000000004">
      <c r="A713" s="8">
        <f t="shared" si="19"/>
        <v>3.5450000000000502E-2</v>
      </c>
      <c r="B713" s="8" cm="1">
        <f t="array" ref="B713">FAM(A713)</f>
        <v>-0.38987544205614388</v>
      </c>
      <c r="C713" s="14">
        <v>-6.3192707661978534E-15</v>
      </c>
      <c r="D713" s="14">
        <v>-0.38987544205614394</v>
      </c>
    </row>
    <row r="714" spans="1:4" x14ac:dyDescent="0.55000000000000004">
      <c r="A714" s="8">
        <f t="shared" si="19"/>
        <v>3.5500000000000503E-2</v>
      </c>
      <c r="B714" s="8" cm="1">
        <f t="array" ref="B714">FAM(A714)</f>
        <v>-0.55575365158354417</v>
      </c>
      <c r="C714" s="14">
        <v>-3.9065353293311539E-15</v>
      </c>
      <c r="D714" s="14">
        <v>-0.55575365158354428</v>
      </c>
    </row>
    <row r="715" spans="1:4" x14ac:dyDescent="0.55000000000000004">
      <c r="A715" s="8">
        <f t="shared" si="19"/>
        <v>3.5550000000000505E-2</v>
      </c>
      <c r="B715" s="8" cm="1">
        <f t="array" ref="B715">FAM(A715)</f>
        <v>-0.39579397962876306</v>
      </c>
      <c r="C715" s="14">
        <v>-6.3502374141945187E-15</v>
      </c>
      <c r="D715" s="14">
        <v>-0.39579397962876306</v>
      </c>
    </row>
    <row r="716" spans="1:4" x14ac:dyDescent="0.55000000000000004">
      <c r="A716" s="8">
        <f t="shared" si="19"/>
        <v>3.5600000000000506E-2</v>
      </c>
      <c r="B716" s="8" cm="1">
        <f t="array" ref="B716">FAM(A716)</f>
        <v>4.1702052674216216E-12</v>
      </c>
      <c r="C716" s="14">
        <v>-3.992006756119137E-15</v>
      </c>
      <c r="D716" s="14">
        <v>4.1702135692108601E-12</v>
      </c>
    </row>
    <row r="717" spans="1:4" x14ac:dyDescent="0.55000000000000004">
      <c r="A717" s="8">
        <f t="shared" si="19"/>
        <v>3.5650000000000508E-2</v>
      </c>
      <c r="B717" s="8" cm="1">
        <f t="array" ref="B717">FAM(A717)</f>
        <v>0.40047992922027381</v>
      </c>
      <c r="C717" s="14">
        <v>-6.2998826704718789E-15</v>
      </c>
      <c r="D717" s="14">
        <v>0.40047992922027398</v>
      </c>
    </row>
    <row r="718" spans="1:4" x14ac:dyDescent="0.55000000000000004">
      <c r="A718" s="8">
        <f t="shared" si="19"/>
        <v>3.5700000000000509E-2</v>
      </c>
      <c r="B718" s="8" cm="1">
        <f t="array" ref="B718">FAM(A718)</f>
        <v>0.56894679024216521</v>
      </c>
      <c r="C718" s="14">
        <v>-3.9150586857789721E-15</v>
      </c>
      <c r="D718" s="14">
        <v>0.5689467902421651</v>
      </c>
    </row>
    <row r="719" spans="1:4" x14ac:dyDescent="0.55000000000000004">
      <c r="A719" s="8">
        <f t="shared" si="19"/>
        <v>3.5750000000000511E-2</v>
      </c>
      <c r="B719" s="8" cm="1">
        <f t="array" ref="B719">FAM(A719)</f>
        <v>0.40376171896180457</v>
      </c>
      <c r="C719" s="14">
        <v>-6.172230173539288E-15</v>
      </c>
      <c r="D719" s="14">
        <v>0.40376171896180463</v>
      </c>
    </row>
    <row r="720" spans="1:4" x14ac:dyDescent="0.55000000000000004">
      <c r="A720" s="8">
        <f t="shared" si="19"/>
        <v>3.5800000000000512E-2</v>
      </c>
      <c r="B720" s="8" cm="1">
        <f t="array" ref="B720">FAM(A720)</f>
        <v>-4.2974562594901374E-12</v>
      </c>
      <c r="C720" s="14">
        <v>-3.9729985689931357E-15</v>
      </c>
      <c r="D720" s="14">
        <v>-4.2974564268110313E-12</v>
      </c>
    </row>
    <row r="721" spans="1:4" x14ac:dyDescent="0.55000000000000004">
      <c r="A721" s="8">
        <f t="shared" si="19"/>
        <v>3.5850000000000513E-2</v>
      </c>
      <c r="B721" s="8" cm="1">
        <f t="array" ref="B721">FAM(A721)</f>
        <v>-0.4054925423715488</v>
      </c>
      <c r="C721" s="14">
        <v>-6.4619193427613161E-15</v>
      </c>
      <c r="D721" s="14">
        <v>-0.4054925423715488</v>
      </c>
    </row>
    <row r="722" spans="1:4" x14ac:dyDescent="0.55000000000000004">
      <c r="A722" s="8">
        <f t="shared" si="19"/>
        <v>3.5900000000000515E-2</v>
      </c>
      <c r="B722" s="8" cm="1">
        <f t="array" ref="B722">FAM(A722)</f>
        <v>-0.57380005149740498</v>
      </c>
      <c r="C722" s="14">
        <v>-4.0797496792935216E-15</v>
      </c>
      <c r="D722" s="14">
        <v>-0.57380005149740487</v>
      </c>
    </row>
    <row r="723" spans="1:4" x14ac:dyDescent="0.55000000000000004">
      <c r="A723" s="8">
        <f t="shared" si="19"/>
        <v>3.5950000000000516E-2</v>
      </c>
      <c r="B723" s="8" cm="1">
        <f t="array" ref="B723">FAM(A723)</f>
        <v>-0.40555304860779723</v>
      </c>
      <c r="C723" s="14">
        <v>-6.5390071066923917E-15</v>
      </c>
      <c r="D723" s="14">
        <v>-0.40555304860779712</v>
      </c>
    </row>
    <row r="724" spans="1:4" x14ac:dyDescent="0.55000000000000004">
      <c r="A724" s="8">
        <f t="shared" si="19"/>
        <v>3.6000000000000518E-2</v>
      </c>
      <c r="B724" s="8" cm="1">
        <f t="array" ref="B724">FAM(A724)</f>
        <v>4.2923290940057558E-12</v>
      </c>
      <c r="C724" s="14">
        <v>-3.7967571776321002E-15</v>
      </c>
      <c r="D724" s="14">
        <v>4.2923304561845499E-12</v>
      </c>
    </row>
    <row r="725" spans="1:4" x14ac:dyDescent="0.55000000000000004">
      <c r="A725" s="8">
        <f t="shared" si="19"/>
        <v>3.6050000000000519E-2</v>
      </c>
      <c r="B725" s="8" cm="1">
        <f t="array" ref="B725">FAM(A725)</f>
        <v>0.40385358809673583</v>
      </c>
      <c r="C725" s="14">
        <v>-6.200330312447487E-15</v>
      </c>
      <c r="D725" s="14">
        <v>0.40385358809673605</v>
      </c>
    </row>
    <row r="726" spans="1:4" x14ac:dyDescent="0.55000000000000004">
      <c r="A726" s="8">
        <f t="shared" si="19"/>
        <v>3.6100000000000521E-2</v>
      </c>
      <c r="B726" s="8" cm="1">
        <f t="array" ref="B726">FAM(A726)</f>
        <v>0.5689726521959757</v>
      </c>
      <c r="C726" s="14">
        <v>-3.6721708703876239E-15</v>
      </c>
      <c r="D726" s="14">
        <v>0.56897265219597581</v>
      </c>
    </row>
    <row r="727" spans="1:4" x14ac:dyDescent="0.55000000000000004">
      <c r="A727" s="8">
        <f t="shared" si="19"/>
        <v>3.6150000000000522E-2</v>
      </c>
      <c r="B727" s="8" cm="1">
        <f t="array" ref="B727">FAM(A727)</f>
        <v>0.40033597630316869</v>
      </c>
      <c r="C727" s="14">
        <v>-6.376262534729365E-15</v>
      </c>
      <c r="D727" s="14">
        <v>0.40033597630316886</v>
      </c>
    </row>
    <row r="728" spans="1:4" x14ac:dyDescent="0.55000000000000004">
      <c r="A728" s="8">
        <f t="shared" si="19"/>
        <v>3.6200000000000523E-2</v>
      </c>
      <c r="B728" s="8" cm="1">
        <f t="array" ref="B728">FAM(A728)</f>
        <v>-4.2755913765012972E-12</v>
      </c>
      <c r="C728" s="14">
        <v>-3.8369054304567476E-15</v>
      </c>
      <c r="D728" s="14">
        <v>-4.2755817116557665E-12</v>
      </c>
    </row>
    <row r="729" spans="1:4" x14ac:dyDescent="0.55000000000000004">
      <c r="A729" s="8">
        <f t="shared" si="19"/>
        <v>3.6250000000000525E-2</v>
      </c>
      <c r="B729" s="8" cm="1">
        <f t="array" ref="B729">FAM(A729)</f>
        <v>-0.39497474683358652</v>
      </c>
      <c r="C729" s="14">
        <v>-6.2679616698525476E-15</v>
      </c>
      <c r="D729" s="14">
        <v>-0.39497474683358674</v>
      </c>
    </row>
    <row r="730" spans="1:4" x14ac:dyDescent="0.55000000000000004">
      <c r="A730" s="8">
        <f t="shared" si="19"/>
        <v>3.6300000000000526E-2</v>
      </c>
      <c r="B730" s="8" cm="1">
        <f t="array" ref="B730">FAM(A730)</f>
        <v>-0.55381162020132224</v>
      </c>
      <c r="C730" s="14">
        <v>-3.7232506507411362E-15</v>
      </c>
      <c r="D730" s="14">
        <v>-0.55381162020132235</v>
      </c>
    </row>
    <row r="731" spans="1:4" x14ac:dyDescent="0.55000000000000004">
      <c r="A731" s="8">
        <f t="shared" si="19"/>
        <v>3.6350000000000528E-2</v>
      </c>
      <c r="B731" s="8" cm="1">
        <f t="array" ref="B731">FAM(A731)</f>
        <v>-0.38777787239734368</v>
      </c>
      <c r="C731" s="14">
        <v>-6.2365640573016474E-15</v>
      </c>
      <c r="D731" s="14">
        <v>-0.38777787239734374</v>
      </c>
    </row>
    <row r="732" spans="1:4" x14ac:dyDescent="0.55000000000000004">
      <c r="A732" s="8">
        <f t="shared" si="19"/>
        <v>3.6400000000000529E-2</v>
      </c>
      <c r="B732" s="8" cm="1">
        <f t="array" ref="B732">FAM(A732)</f>
        <v>4.1768429809343443E-12</v>
      </c>
      <c r="C732" s="14">
        <v>-3.9016679689298949E-15</v>
      </c>
      <c r="D732" s="14">
        <v>4.1768363253393627E-12</v>
      </c>
    </row>
    <row r="733" spans="1:4" x14ac:dyDescent="0.55000000000000004">
      <c r="A733" s="8">
        <f t="shared" si="19"/>
        <v>3.6450000000000531E-2</v>
      </c>
      <c r="B733" s="8" cm="1">
        <f t="array" ref="B733">FAM(A733)</f>
        <v>0.37878694138372704</v>
      </c>
      <c r="C733" s="14">
        <v>-6.565414878423326E-15</v>
      </c>
      <c r="D733" s="14">
        <v>0.37878694138372709</v>
      </c>
    </row>
    <row r="734" spans="1:4" x14ac:dyDescent="0.55000000000000004">
      <c r="A734" s="8">
        <f t="shared" si="19"/>
        <v>3.6500000000000532E-2</v>
      </c>
      <c r="B734" s="8" cm="1">
        <f t="array" ref="B734">FAM(A734)</f>
        <v>0.52840790438396645</v>
      </c>
      <c r="C734" s="14">
        <v>-3.8582470551773443E-15</v>
      </c>
      <c r="D734" s="14">
        <v>0.52840790438396623</v>
      </c>
    </row>
    <row r="735" spans="1:4" x14ac:dyDescent="0.55000000000000004">
      <c r="A735" s="8">
        <f t="shared" si="19"/>
        <v>3.6550000000000533E-2</v>
      </c>
      <c r="B735" s="8" cm="1">
        <f t="array" ref="B735">FAM(A735)</f>
        <v>0.36807678569076741</v>
      </c>
      <c r="C735" s="14">
        <v>-6.3282961748948983E-15</v>
      </c>
      <c r="D735" s="14">
        <v>0.36807678569076741</v>
      </c>
    </row>
    <row r="736" spans="1:4" x14ac:dyDescent="0.55000000000000004">
      <c r="A736" s="8">
        <f t="shared" si="19"/>
        <v>3.6600000000000535E-2</v>
      </c>
      <c r="B736" s="8" cm="1">
        <f t="array" ref="B736">FAM(A736)</f>
        <v>-3.9965382644088441E-12</v>
      </c>
      <c r="C736" s="14">
        <v>-3.4943191561199471E-15</v>
      </c>
      <c r="D736" s="14">
        <v>-3.9965193663110764E-12</v>
      </c>
    </row>
    <row r="737" spans="1:4" x14ac:dyDescent="0.55000000000000004">
      <c r="A737" s="8">
        <f t="shared" si="19"/>
        <v>3.6650000000000536E-2</v>
      </c>
      <c r="B737" s="8" cm="1">
        <f t="array" ref="B737">FAM(A737)</f>
        <v>-0.35575456493828261</v>
      </c>
      <c r="C737" s="14">
        <v>-6.3255335021202927E-15</v>
      </c>
      <c r="D737" s="14">
        <v>-0.35575456493828261</v>
      </c>
    </row>
    <row r="738" spans="1:4" x14ac:dyDescent="0.55000000000000004">
      <c r="A738" s="8">
        <f t="shared" si="19"/>
        <v>3.6700000000000538E-2</v>
      </c>
      <c r="B738" s="8" cm="1">
        <f t="array" ref="B738">FAM(A738)</f>
        <v>-0.49360424909153311</v>
      </c>
      <c r="C738" s="14">
        <v>-3.7444747005814045E-15</v>
      </c>
      <c r="D738" s="14">
        <v>-0.49360424909153283</v>
      </c>
    </row>
    <row r="739" spans="1:4" x14ac:dyDescent="0.55000000000000004">
      <c r="A739" s="8">
        <f t="shared" si="19"/>
        <v>3.6750000000000539E-2</v>
      </c>
      <c r="B739" s="8" cm="1">
        <f t="array" ref="B739">FAM(A739)</f>
        <v>-0.3419583200870524</v>
      </c>
      <c r="C739" s="14">
        <v>-6.4870494544857578E-15</v>
      </c>
      <c r="D739" s="14">
        <v>-0.34195832008705224</v>
      </c>
    </row>
    <row r="740" spans="1:4" x14ac:dyDescent="0.55000000000000004">
      <c r="A740" s="8">
        <f t="shared" si="19"/>
        <v>3.6800000000000541E-2</v>
      </c>
      <c r="B740" s="8" cm="1">
        <f t="array" ref="B740">FAM(A740)</f>
        <v>3.7411545406740975E-12</v>
      </c>
      <c r="C740" s="14">
        <v>-3.5585112564905149E-15</v>
      </c>
      <c r="D740" s="14">
        <v>3.7411412146956587E-12</v>
      </c>
    </row>
    <row r="741" spans="1:4" x14ac:dyDescent="0.55000000000000004">
      <c r="A741" s="8">
        <f t="shared" si="19"/>
        <v>3.6850000000000542E-2</v>
      </c>
      <c r="B741" s="8" cm="1">
        <f t="array" ref="B741">FAM(A741)</f>
        <v>0.32685501868286176</v>
      </c>
      <c r="C741" s="14">
        <v>-6.3453235101970706E-15</v>
      </c>
      <c r="D741" s="14">
        <v>0.32685501868286182</v>
      </c>
    </row>
    <row r="742" spans="1:4" x14ac:dyDescent="0.55000000000000004">
      <c r="A742" s="8">
        <f t="shared" si="19"/>
        <v>3.6900000000000543E-2</v>
      </c>
      <c r="B742" s="8" cm="1">
        <f t="array" ref="B742">FAM(A742)</f>
        <v>0.45095412400797086</v>
      </c>
      <c r="C742" s="14">
        <v>-3.5062225837245527E-15</v>
      </c>
      <c r="D742" s="14">
        <v>0.45095412400797069</v>
      </c>
    </row>
    <row r="743" spans="1:4" x14ac:dyDescent="0.55000000000000004">
      <c r="A743" s="8">
        <f t="shared" si="19"/>
        <v>3.6950000000000545E-2</v>
      </c>
      <c r="B743" s="8" cm="1">
        <f t="array" ref="B743">FAM(A743)</f>
        <v>0.31063812131607421</v>
      </c>
      <c r="C743" s="14">
        <v>-6.2456706473312807E-15</v>
      </c>
      <c r="D743" s="14">
        <v>0.31063812131607432</v>
      </c>
    </row>
    <row r="744" spans="1:4" x14ac:dyDescent="0.55000000000000004">
      <c r="A744" s="8">
        <f t="shared" si="19"/>
        <v>3.7000000000000546E-2</v>
      </c>
      <c r="B744" s="8" cm="1">
        <f t="array" ref="B744">FAM(A744)</f>
        <v>-3.4230521109893118E-12</v>
      </c>
      <c r="C744" s="14">
        <v>-3.9506176108261574E-15</v>
      </c>
      <c r="D744" s="14">
        <v>-3.4230270218769135E-12</v>
      </c>
    </row>
    <row r="745" spans="1:4" x14ac:dyDescent="0.55000000000000004">
      <c r="A745" s="8">
        <f t="shared" si="19"/>
        <v>3.7050000000000548E-2</v>
      </c>
      <c r="B745" s="8" cm="1">
        <f t="array" ref="B745">FAM(A745)</f>
        <v>-0.2935247072351892</v>
      </c>
      <c r="C745" s="14">
        <v>-6.7720954268514532E-15</v>
      </c>
      <c r="D745" s="14">
        <v>-0.29352470723518925</v>
      </c>
    </row>
    <row r="746" spans="1:4" x14ac:dyDescent="0.55000000000000004">
      <c r="A746" s="8">
        <f t="shared" si="19"/>
        <v>3.7100000000000549E-2</v>
      </c>
      <c r="B746" s="8" cm="1">
        <f t="array" ref="B746">FAM(A746)</f>
        <v>-0.40263410259448795</v>
      </c>
      <c r="C746" s="14">
        <v>-3.4439696814268911E-15</v>
      </c>
      <c r="D746" s="14">
        <v>-0.4026341025944879</v>
      </c>
    </row>
    <row r="747" spans="1:4" x14ac:dyDescent="0.55000000000000004">
      <c r="A747" s="8">
        <f t="shared" si="19"/>
        <v>3.7150000000000551E-2</v>
      </c>
      <c r="B747" s="8" cm="1">
        <f t="array" ref="B747">FAM(A747)</f>
        <v>-0.27575220341375878</v>
      </c>
      <c r="C747" s="14">
        <v>-6.3837403303952286E-15</v>
      </c>
      <c r="D747" s="14">
        <v>-0.27575220341375878</v>
      </c>
    </row>
    <row r="748" spans="1:4" x14ac:dyDescent="0.55000000000000004">
      <c r="A748" s="8">
        <f t="shared" si="19"/>
        <v>3.7200000000000552E-2</v>
      </c>
      <c r="B748" s="8" cm="1">
        <f t="array" ref="B748">FAM(A748)</f>
        <v>3.0599354274513572E-12</v>
      </c>
      <c r="C748" s="14">
        <v>-3.1668846969465165E-15</v>
      </c>
      <c r="D748" s="14">
        <v>3.0599188895015549E-12</v>
      </c>
    </row>
    <row r="749" spans="1:4" x14ac:dyDescent="0.55000000000000004">
      <c r="A749" s="8">
        <f t="shared" si="19"/>
        <v>3.7250000000000554E-2</v>
      </c>
      <c r="B749" s="8" cm="1">
        <f t="array" ref="B749">FAM(A749)</f>
        <v>0.25757476837340137</v>
      </c>
      <c r="C749" s="14">
        <v>-6.4350740422793875E-15</v>
      </c>
      <c r="D749" s="14">
        <v>0.25757476837340143</v>
      </c>
    </row>
    <row r="750" spans="1:4" x14ac:dyDescent="0.55000000000000004">
      <c r="A750" s="8">
        <f t="shared" si="19"/>
        <v>3.7300000000000555E-2</v>
      </c>
      <c r="B750" s="8" cm="1">
        <f t="array" ref="B750">FAM(A750)</f>
        <v>0.35131503716994139</v>
      </c>
      <c r="C750" s="14">
        <v>-3.2300193725456976E-15</v>
      </c>
      <c r="D750" s="14">
        <v>0.35131503716994139</v>
      </c>
    </row>
    <row r="751" spans="1:4" x14ac:dyDescent="0.55000000000000004">
      <c r="A751" s="8">
        <f t="shared" si="19"/>
        <v>3.7350000000000556E-2</v>
      </c>
      <c r="B751" s="8" cm="1">
        <f t="array" ref="B751">FAM(A751)</f>
        <v>0.23925938698102797</v>
      </c>
      <c r="C751" s="14">
        <v>-6.3757257916336788E-15</v>
      </c>
      <c r="D751" s="14">
        <v>0.23925938698102792</v>
      </c>
    </row>
    <row r="752" spans="1:4" x14ac:dyDescent="0.55000000000000004">
      <c r="A752" s="8">
        <f t="shared" si="19"/>
        <v>3.7400000000000558E-2</v>
      </c>
      <c r="B752" s="8" cm="1">
        <f t="array" ref="B752">FAM(A752)</f>
        <v>-2.636938001244603E-12</v>
      </c>
      <c r="C752" s="14">
        <v>-3.4303656007322997E-15</v>
      </c>
      <c r="D752" s="14">
        <v>-2.6369115566707318E-12</v>
      </c>
    </row>
    <row r="753" spans="1:4" x14ac:dyDescent="0.55000000000000004">
      <c r="A753" s="8">
        <f t="shared" si="19"/>
        <v>3.7450000000000559E-2</v>
      </c>
      <c r="B753" s="8" cm="1">
        <f t="array" ref="B753">FAM(A753)</f>
        <v>-0.2210817376906605</v>
      </c>
      <c r="C753" s="36">
        <v>-6.1287503302910194E-15</v>
      </c>
      <c r="D753" s="36">
        <v>-0.22108173769066053</v>
      </c>
    </row>
    <row r="754" spans="1:4" x14ac:dyDescent="0.55000000000000004">
      <c r="A754" s="4">
        <f t="shared" si="19"/>
        <v>3.7500000000000561E-2</v>
      </c>
      <c r="B754" s="4" cm="1">
        <f t="array" ref="B754">FAM(A754)</f>
        <v>-0.29999999999986893</v>
      </c>
      <c r="C754" s="13">
        <v>-3.0695446184836328E-15</v>
      </c>
      <c r="D754" s="13">
        <v>-0.29999999999986887</v>
      </c>
    </row>
    <row r="755" spans="1:4" x14ac:dyDescent="0.55000000000000004">
      <c r="A755" s="8">
        <f t="shared" si="19"/>
        <v>3.7550000000000562E-2</v>
      </c>
      <c r="B755" s="8" cm="1">
        <f t="array" ref="B755">FAM(A755)</f>
        <v>-0.20332189682581689</v>
      </c>
      <c r="C755" s="14">
        <v>-5.9304579088621629E-15</v>
      </c>
      <c r="D755" s="14">
        <v>-0.20332189682581686</v>
      </c>
    </row>
    <row r="756" spans="1:4" x14ac:dyDescent="0.55000000000000004">
      <c r="A756" s="8">
        <f t="shared" si="19"/>
        <v>3.7600000000000564E-2</v>
      </c>
      <c r="B756" s="8" cm="1">
        <f t="array" ref="B756">FAM(A756)</f>
        <v>2.2590832406247054E-12</v>
      </c>
      <c r="C756" s="14">
        <v>-3.095533617099944E-15</v>
      </c>
      <c r="D756" s="14">
        <v>2.2590681944095489E-12</v>
      </c>
    </row>
    <row r="757" spans="1:4" x14ac:dyDescent="0.55000000000000004">
      <c r="A757" s="8">
        <f t="shared" si="19"/>
        <v>3.7650000000000565E-2</v>
      </c>
      <c r="B757" s="8" cm="1">
        <f t="array" ref="B757">FAM(A757)</f>
        <v>0.1862599477000394</v>
      </c>
      <c r="C757" s="14">
        <v>-6.1737352651712058E-15</v>
      </c>
      <c r="D757" s="14">
        <v>0.18625994770003945</v>
      </c>
    </row>
    <row r="758" spans="1:4" x14ac:dyDescent="0.55000000000000004">
      <c r="A758" s="8">
        <f t="shared" si="19"/>
        <v>3.7700000000000566E-2</v>
      </c>
      <c r="B758" s="8" cm="1">
        <f t="array" ref="B758">FAM(A758)</f>
        <v>0.25183908230401369</v>
      </c>
      <c r="C758" s="14">
        <v>-3.7918565918808991E-15</v>
      </c>
      <c r="D758" s="14">
        <v>0.25183908230401364</v>
      </c>
    </row>
    <row r="759" spans="1:4" x14ac:dyDescent="0.55000000000000004">
      <c r="A759" s="8">
        <f t="shared" si="19"/>
        <v>3.7750000000000568E-2</v>
      </c>
      <c r="B759" s="8" cm="1">
        <f t="array" ref="B759">FAM(A759)</f>
        <v>0.17017156348014853</v>
      </c>
      <c r="C759" s="14">
        <v>-6.3522814609659394E-15</v>
      </c>
      <c r="D759" s="14">
        <v>0.17017156348014847</v>
      </c>
    </row>
    <row r="760" spans="1:4" x14ac:dyDescent="0.55000000000000004">
      <c r="A760" s="8">
        <f t="shared" si="19"/>
        <v>3.7800000000000569E-2</v>
      </c>
      <c r="B760" s="8" cm="1">
        <f t="array" ref="B760">FAM(A760)</f>
        <v>-1.9101483331285231E-12</v>
      </c>
      <c r="C760" s="14">
        <v>-3.6958655772773829E-15</v>
      </c>
      <c r="D760" s="14">
        <v>-1.9101260518655445E-12</v>
      </c>
    </row>
    <row r="761" spans="1:4" x14ac:dyDescent="0.55000000000000004">
      <c r="A761" s="8">
        <f t="shared" si="19"/>
        <v>3.7850000000000571E-2</v>
      </c>
      <c r="B761" s="8" cm="1">
        <f t="array" ref="B761">FAM(A761)</f>
        <v>-0.15532363367550694</v>
      </c>
      <c r="C761" s="14">
        <v>-6.7954391074548996E-15</v>
      </c>
      <c r="D761" s="14">
        <v>-0.155323633675507</v>
      </c>
    </row>
    <row r="762" spans="1:4" x14ac:dyDescent="0.55000000000000004">
      <c r="A762" s="8">
        <f t="shared" si="19"/>
        <v>3.7900000000000572E-2</v>
      </c>
      <c r="B762" s="8" cm="1">
        <f t="array" ref="B762">FAM(A762)</f>
        <v>-0.20993263295383041</v>
      </c>
      <c r="C762" s="14">
        <v>-3.4210076050511265E-15</v>
      </c>
      <c r="D762" s="14">
        <v>-0.20993263295383055</v>
      </c>
    </row>
    <row r="763" spans="1:4" x14ac:dyDescent="0.55000000000000004">
      <c r="A763" s="8">
        <f t="shared" si="19"/>
        <v>3.7950000000000574E-2</v>
      </c>
      <c r="B763" s="8" cm="1">
        <f t="array" ref="B763">FAM(A763)</f>
        <v>-0.14197000312323008</v>
      </c>
      <c r="C763" s="14">
        <v>-6.2598815020464827E-15</v>
      </c>
      <c r="D763" s="14">
        <v>-0.14197000312322997</v>
      </c>
    </row>
    <row r="764" spans="1:4" x14ac:dyDescent="0.55000000000000004">
      <c r="A764" s="8">
        <f t="shared" si="19"/>
        <v>3.8000000000000575E-2</v>
      </c>
      <c r="B764" s="8" cm="1">
        <f t="array" ref="B764">FAM(A764)</f>
        <v>1.6168361526734912E-12</v>
      </c>
      <c r="C764" s="14">
        <v>-2.9949376312288222E-15</v>
      </c>
      <c r="D764" s="14">
        <v>1.6168273450771363E-12</v>
      </c>
    </row>
    <row r="765" spans="1:4" x14ac:dyDescent="0.55000000000000004">
      <c r="A765" s="8">
        <f t="shared" si="19"/>
        <v>3.8050000000000576E-2</v>
      </c>
      <c r="B765" s="8" cm="1">
        <f t="array" ref="B765">FAM(A765)</f>
        <v>0.13034739106275756</v>
      </c>
      <c r="C765" s="14">
        <v>-6.4535554489706098E-15</v>
      </c>
      <c r="D765" s="14">
        <v>0.13034739106275769</v>
      </c>
    </row>
    <row r="766" spans="1:4" x14ac:dyDescent="0.55000000000000004">
      <c r="A766" s="8">
        <f t="shared" si="19"/>
        <v>3.8100000000000578E-2</v>
      </c>
      <c r="B766" s="8" cm="1">
        <f t="array" ref="B766">FAM(A766)</f>
        <v>0.17713528163653791</v>
      </c>
      <c r="C766" s="14">
        <v>-3.2510469846282623E-15</v>
      </c>
      <c r="D766" s="14">
        <v>0.17713528163653808</v>
      </c>
    </row>
    <row r="767" spans="1:4" x14ac:dyDescent="0.55000000000000004">
      <c r="A767" s="8">
        <f t="shared" si="19"/>
        <v>3.8150000000000579E-2</v>
      </c>
      <c r="B767" s="8" cm="1">
        <f t="array" ref="B767">FAM(A767)</f>
        <v>0.12067155479053097</v>
      </c>
      <c r="C767" s="14">
        <v>-6.3714060518920906E-15</v>
      </c>
      <c r="D767" s="14">
        <v>0.12067155479053096</v>
      </c>
    </row>
    <row r="768" spans="1:4" x14ac:dyDescent="0.55000000000000004">
      <c r="A768" s="8">
        <f t="shared" si="19"/>
        <v>3.8200000000000581E-2</v>
      </c>
      <c r="B768" s="8" cm="1">
        <f t="array" ref="B768">FAM(A768)</f>
        <v>-1.4041942959085187E-12</v>
      </c>
      <c r="C768" s="14">
        <v>-3.1721455645620817E-15</v>
      </c>
      <c r="D768" s="14">
        <v>-1.404181078972755E-12</v>
      </c>
    </row>
    <row r="769" spans="1:4" x14ac:dyDescent="0.55000000000000004">
      <c r="A769" s="8">
        <f t="shared" si="19"/>
        <v>3.8250000000000582E-2</v>
      </c>
      <c r="B769" s="8" cm="1">
        <f t="array" ref="B769">FAM(A769)</f>
        <v>-0.11313375896365166</v>
      </c>
      <c r="C769" s="14">
        <v>-6.2445777009162886E-15</v>
      </c>
      <c r="D769" s="14">
        <v>-0.11313375896365167</v>
      </c>
    </row>
    <row r="770" spans="1:4" x14ac:dyDescent="0.55000000000000004">
      <c r="A770" s="8">
        <f t="shared" si="19"/>
        <v>3.8300000000000584E-2</v>
      </c>
      <c r="B770" s="8" cm="1">
        <f t="array" ref="B770">FAM(A770)</f>
        <v>-0.15587307889078383</v>
      </c>
      <c r="C770" s="14">
        <v>-3.1629806080223339E-15</v>
      </c>
      <c r="D770" s="14">
        <v>-0.15587307889078389</v>
      </c>
    </row>
    <row r="771" spans="1:4" x14ac:dyDescent="0.55000000000000004">
      <c r="A771" s="8">
        <f t="shared" si="19"/>
        <v>3.8350000000000585E-2</v>
      </c>
      <c r="B771" s="8" cm="1">
        <f t="array" ref="B771">FAM(A771)</f>
        <v>-0.10789760659136499</v>
      </c>
      <c r="C771" s="14">
        <v>-6.3788103600865388E-15</v>
      </c>
      <c r="D771" s="14">
        <v>-0.10789760659136494</v>
      </c>
    </row>
    <row r="772" spans="1:4" x14ac:dyDescent="0.55000000000000004">
      <c r="A772" s="8">
        <f t="shared" si="19"/>
        <v>3.8400000000000586E-2</v>
      </c>
      <c r="B772" s="8" cm="1">
        <f t="array" ref="B772">FAM(A772)</f>
        <v>1.293959225222962E-12</v>
      </c>
      <c r="C772" s="14">
        <v>-3.4494757150368991E-15</v>
      </c>
      <c r="D772" s="14">
        <v>1.2939602076093728E-12</v>
      </c>
    </row>
    <row r="773" spans="1:4" x14ac:dyDescent="0.55000000000000004">
      <c r="A773" s="8">
        <f t="shared" si="19"/>
        <v>3.8450000000000588E-2</v>
      </c>
      <c r="B773" s="8" cm="1">
        <f t="array" ref="B773">FAM(A773)</f>
        <v>0.10509628243085009</v>
      </c>
      <c r="C773" s="14">
        <v>-6.7217342802905482E-15</v>
      </c>
      <c r="D773" s="14">
        <v>0.10509628243085013</v>
      </c>
    </row>
    <row r="774" spans="1:4" x14ac:dyDescent="0.55000000000000004">
      <c r="A774" s="8">
        <f t="shared" ref="A774:A837" si="20">A773+0.00005</f>
        <v>3.8500000000000589E-2</v>
      </c>
      <c r="B774" s="8" cm="1">
        <f t="array" ref="B774">FAM(A774)</f>
        <v>0.14798529786597769</v>
      </c>
      <c r="C774" s="14">
        <v>-2.8563817977556029E-15</v>
      </c>
      <c r="D774" s="14">
        <v>0.14798529786597767</v>
      </c>
    </row>
    <row r="775" spans="1:4" x14ac:dyDescent="0.55000000000000004">
      <c r="A775" s="8">
        <f t="shared" si="20"/>
        <v>3.8550000000000591E-2</v>
      </c>
      <c r="B775" s="8" cm="1">
        <f t="array" ref="B775">FAM(A775)</f>
        <v>0.10483025282906429</v>
      </c>
      <c r="C775" s="14">
        <v>-6.2965718498346967E-15</v>
      </c>
      <c r="D775" s="14">
        <v>0.10483025282906423</v>
      </c>
    </row>
    <row r="776" spans="1:4" x14ac:dyDescent="0.55000000000000004">
      <c r="A776" s="8">
        <f t="shared" si="20"/>
        <v>3.8600000000000592E-2</v>
      </c>
      <c r="B776" s="8" cm="1">
        <f t="array" ref="B776">FAM(A776)</f>
        <v>-1.303055069513256E-12</v>
      </c>
      <c r="C776" s="14">
        <v>-2.9271162897453667E-15</v>
      </c>
      <c r="D776" s="14">
        <v>-1.3030540261148425E-12</v>
      </c>
    </row>
    <row r="777" spans="1:4" x14ac:dyDescent="0.55000000000000004">
      <c r="A777" s="8">
        <f t="shared" si="20"/>
        <v>3.8650000000000594E-2</v>
      </c>
      <c r="B777" s="8" cm="1">
        <f t="array" ref="B777">FAM(A777)</f>
        <v>-0.10716545919559982</v>
      </c>
      <c r="C777" s="14">
        <v>-6.2382942812775325E-15</v>
      </c>
      <c r="D777" s="14">
        <v>-0.10716545919559976</v>
      </c>
    </row>
    <row r="778" spans="1:4" x14ac:dyDescent="0.55000000000000004">
      <c r="A778" s="8">
        <f t="shared" si="20"/>
        <v>3.8700000000000595E-2</v>
      </c>
      <c r="B778" s="8" cm="1">
        <f t="array" ref="B778">FAM(A778)</f>
        <v>-0.15460092883010232</v>
      </c>
      <c r="C778" s="14">
        <v>-3.0296562344438687E-15</v>
      </c>
      <c r="D778" s="14">
        <v>-0.15460092883010229</v>
      </c>
    </row>
    <row r="779" spans="1:4" x14ac:dyDescent="0.55000000000000004">
      <c r="A779" s="8">
        <f t="shared" si="20"/>
        <v>3.8750000000000596E-2</v>
      </c>
      <c r="B779" s="8" cm="1">
        <f t="array" ref="B779">FAM(A779)</f>
        <v>-0.11213203435501921</v>
      </c>
      <c r="C779" s="14">
        <v>-6.3852599669183598E-15</v>
      </c>
      <c r="D779" s="14">
        <v>-0.11213203435501906</v>
      </c>
    </row>
    <row r="780" spans="1:4" x14ac:dyDescent="0.55000000000000004">
      <c r="A780" s="8">
        <f t="shared" si="20"/>
        <v>3.8800000000000598E-2</v>
      </c>
      <c r="B780" s="8" cm="1">
        <f t="array" ref="B780">FAM(A780)</f>
        <v>1.4237621722878063E-12</v>
      </c>
      <c r="C780" s="14">
        <v>-2.9646142354645317E-15</v>
      </c>
      <c r="D780" s="14">
        <v>1.4237743357026343E-12</v>
      </c>
    </row>
    <row r="781" spans="1:4" x14ac:dyDescent="0.55000000000000004">
      <c r="A781" s="8">
        <f t="shared" si="20"/>
        <v>3.8850000000000599E-2</v>
      </c>
      <c r="B781" s="8" cm="1">
        <f t="array" ref="B781">FAM(A781)</f>
        <v>0.11972356310161376</v>
      </c>
      <c r="C781" s="14">
        <v>-6.1777266640323983E-15</v>
      </c>
      <c r="D781" s="14">
        <v>0.11972356310161393</v>
      </c>
    </row>
    <row r="782" spans="1:4" x14ac:dyDescent="0.55000000000000004">
      <c r="A782" s="8">
        <f t="shared" si="20"/>
        <v>3.8900000000000601E-2</v>
      </c>
      <c r="B782" s="8" cm="1">
        <f t="array" ref="B782">FAM(A782)</f>
        <v>0.17605775190460474</v>
      </c>
      <c r="C782" s="14">
        <v>-3.1698991114370291E-15</v>
      </c>
      <c r="D782" s="14">
        <v>0.17605775190460479</v>
      </c>
    </row>
    <row r="783" spans="1:4" x14ac:dyDescent="0.55000000000000004">
      <c r="A783" s="8">
        <f t="shared" si="20"/>
        <v>3.8950000000000602E-2</v>
      </c>
      <c r="B783" s="8" cm="1">
        <f t="array" ref="B783">FAM(A783)</f>
        <v>0.12989689954174047</v>
      </c>
      <c r="C783" s="14">
        <v>-6.6170713642303485E-15</v>
      </c>
      <c r="D783" s="14">
        <v>0.1298968995417405</v>
      </c>
    </row>
    <row r="784" spans="1:4" x14ac:dyDescent="0.55000000000000004">
      <c r="A784" s="8">
        <f t="shared" si="20"/>
        <v>3.9000000000000604E-2</v>
      </c>
      <c r="B784" s="8" cm="1">
        <f t="array" ref="B784">FAM(A784)</f>
        <v>-1.6938911166547739E-12</v>
      </c>
      <c r="C784" s="14">
        <v>-3.0690878586712217E-15</v>
      </c>
      <c r="D784" s="14">
        <v>-1.6939028051043473E-12</v>
      </c>
    </row>
    <row r="785" spans="1:4" x14ac:dyDescent="0.55000000000000004">
      <c r="A785" s="8">
        <f t="shared" si="20"/>
        <v>3.9050000000000605E-2</v>
      </c>
      <c r="B785" s="8" cm="1">
        <f t="array" ref="B785">FAM(A785)</f>
        <v>-0.14257254534844793</v>
      </c>
      <c r="C785" s="14">
        <v>-6.3979863047294786E-15</v>
      </c>
      <c r="D785" s="14">
        <v>-0.14257254534844793</v>
      </c>
    </row>
    <row r="786" spans="1:4" x14ac:dyDescent="0.55000000000000004">
      <c r="A786" s="8">
        <f t="shared" si="20"/>
        <v>3.9100000000000606E-2</v>
      </c>
      <c r="B786" s="8" cm="1">
        <f t="array" ref="B786">FAM(A786)</f>
        <v>-0.21186923051111803</v>
      </c>
      <c r="C786" s="14">
        <v>-2.6895308584068642E-15</v>
      </c>
      <c r="D786" s="14">
        <v>-0.2118692305111182</v>
      </c>
    </row>
    <row r="787" spans="1:4" x14ac:dyDescent="0.55000000000000004">
      <c r="A787" s="8">
        <f t="shared" si="20"/>
        <v>3.9150000000000608E-2</v>
      </c>
      <c r="B787" s="8" cm="1">
        <f t="array" ref="B787">FAM(A787)</f>
        <v>-0.15763558402396047</v>
      </c>
      <c r="C787" s="14">
        <v>-6.2553357328910762E-15</v>
      </c>
      <c r="D787" s="14">
        <v>-0.15763558402396044</v>
      </c>
    </row>
    <row r="788" spans="1:4" x14ac:dyDescent="0.55000000000000004">
      <c r="A788" s="8">
        <f t="shared" si="20"/>
        <v>3.9200000000000609E-2</v>
      </c>
      <c r="B788" s="8" cm="1">
        <f t="array" ref="B788">FAM(A788)</f>
        <v>2.0930083556982813E-12</v>
      </c>
      <c r="C788" s="14">
        <v>-2.8888445672430544E-15</v>
      </c>
      <c r="D788" s="14">
        <v>2.0930304840678304E-12</v>
      </c>
    </row>
    <row r="789" spans="1:4" x14ac:dyDescent="0.55000000000000004">
      <c r="A789" s="8">
        <f t="shared" si="20"/>
        <v>3.9250000000000611E-2</v>
      </c>
      <c r="B789" s="8" cm="1">
        <f t="array" ref="B789">FAM(A789)</f>
        <v>0.17493715783939506</v>
      </c>
      <c r="C789" s="14">
        <v>-6.2962019516152768E-15</v>
      </c>
      <c r="D789" s="14">
        <v>0.1749371578393952</v>
      </c>
    </row>
    <row r="790" spans="1:4" x14ac:dyDescent="0.55000000000000004">
      <c r="A790" s="8">
        <f t="shared" si="20"/>
        <v>3.9300000000000612E-2</v>
      </c>
      <c r="B790" s="8" cm="1">
        <f t="array" ref="B790">FAM(A790)</f>
        <v>0.26074149313198469</v>
      </c>
      <c r="C790" s="14">
        <v>-2.9894848769817197E-15</v>
      </c>
      <c r="D790" s="14">
        <v>0.26074149313198469</v>
      </c>
    </row>
    <row r="791" spans="1:4" x14ac:dyDescent="0.55000000000000004">
      <c r="A791" s="8">
        <f t="shared" si="20"/>
        <v>3.9350000000000614E-2</v>
      </c>
      <c r="B791" s="8" cm="1">
        <f t="array" ref="B791">FAM(A791)</f>
        <v>0.19429646532688821</v>
      </c>
      <c r="C791" s="14">
        <v>-6.3789385265091593E-15</v>
      </c>
      <c r="D791" s="14">
        <v>0.19429646532688824</v>
      </c>
    </row>
    <row r="792" spans="1:4" x14ac:dyDescent="0.55000000000000004">
      <c r="A792" s="8">
        <f t="shared" si="20"/>
        <v>3.9400000000000615E-2</v>
      </c>
      <c r="B792" s="8" cm="1">
        <f t="array" ref="B792">FAM(A792)</f>
        <v>-2.6102655707258142E-12</v>
      </c>
      <c r="C792" s="14">
        <v>-2.7720453838985386E-15</v>
      </c>
      <c r="D792" s="14">
        <v>-2.6102878414540269E-12</v>
      </c>
    </row>
    <row r="793" spans="1:4" x14ac:dyDescent="0.55000000000000004">
      <c r="A793" s="8">
        <f t="shared" si="20"/>
        <v>3.9450000000000617E-2</v>
      </c>
      <c r="B793" s="8" cm="1">
        <f t="array" ref="B793">FAM(A793)</f>
        <v>-0.21550324937681051</v>
      </c>
      <c r="C793" s="14">
        <v>-6.3466716370564759E-15</v>
      </c>
      <c r="D793" s="14">
        <v>-0.21550324937681054</v>
      </c>
    </row>
    <row r="794" spans="1:4" x14ac:dyDescent="0.55000000000000004">
      <c r="A794" s="8">
        <f t="shared" si="20"/>
        <v>3.9500000000000618E-2</v>
      </c>
      <c r="B794" s="8" cm="1">
        <f t="array" ref="B794">FAM(A794)</f>
        <v>-0.32063955066670247</v>
      </c>
      <c r="C794" s="14">
        <v>-3.0298001777152884E-15</v>
      </c>
      <c r="D794" s="14">
        <v>-0.32063955066670247</v>
      </c>
    </row>
    <row r="795" spans="1:4" x14ac:dyDescent="0.55000000000000004">
      <c r="A795" s="8">
        <f t="shared" si="20"/>
        <v>3.9550000000000619E-2</v>
      </c>
      <c r="B795" s="8" cm="1">
        <f t="array" ref="B795">FAM(A795)</f>
        <v>-0.23832073794282119</v>
      </c>
      <c r="C795" s="14">
        <v>-6.4990436204075233E-15</v>
      </c>
      <c r="D795" s="14">
        <v>-0.23832073794282121</v>
      </c>
    </row>
    <row r="796" spans="1:4" x14ac:dyDescent="0.55000000000000004">
      <c r="A796" s="8">
        <f t="shared" si="20"/>
        <v>3.9600000000000621E-2</v>
      </c>
      <c r="B796" s="8" cm="1">
        <f t="array" ref="B796">FAM(A796)</f>
        <v>3.2278256044078087E-12</v>
      </c>
      <c r="C796" s="14">
        <v>-2.7917300072904317E-15</v>
      </c>
      <c r="D796" s="14">
        <v>3.2278540627190932E-12</v>
      </c>
    </row>
    <row r="797" spans="1:4" x14ac:dyDescent="0.55000000000000004">
      <c r="A797" s="8">
        <f t="shared" si="20"/>
        <v>3.9650000000000622E-2</v>
      </c>
      <c r="B797" s="8" cm="1">
        <f t="array" ref="B797">FAM(A797)</f>
        <v>0.26248899267260789</v>
      </c>
      <c r="C797" s="14">
        <v>-6.3684312551835938E-15</v>
      </c>
      <c r="D797" s="14">
        <v>0.262488992672608</v>
      </c>
    </row>
    <row r="798" spans="1:4" x14ac:dyDescent="0.55000000000000004">
      <c r="A798" s="8">
        <f t="shared" si="20"/>
        <v>3.9700000000000624E-2</v>
      </c>
      <c r="B798" s="8" cm="1">
        <f t="array" ref="B798">FAM(A798)</f>
        <v>0.38889882654612751</v>
      </c>
      <c r="C798" s="14">
        <v>-2.5909069837334588E-15</v>
      </c>
      <c r="D798" s="14">
        <v>0.38889882654612751</v>
      </c>
    </row>
    <row r="799" spans="1:4" x14ac:dyDescent="0.55000000000000004">
      <c r="A799" s="8">
        <f t="shared" si="20"/>
        <v>3.9750000000000625E-2</v>
      </c>
      <c r="B799" s="8" cm="1">
        <f t="array" ref="B799">FAM(A799)</f>
        <v>0.28772861393766436</v>
      </c>
      <c r="C799" s="14">
        <v>-6.0638362382365498E-15</v>
      </c>
      <c r="D799" s="14">
        <v>0.28772861393766447</v>
      </c>
    </row>
    <row r="800" spans="1:4" x14ac:dyDescent="0.55000000000000004">
      <c r="A800" s="8">
        <f t="shared" si="20"/>
        <v>3.9800000000000627E-2</v>
      </c>
      <c r="B800" s="8" cm="1">
        <f t="array" ref="B800">FAM(A800)</f>
        <v>-3.9217228932759793E-12</v>
      </c>
      <c r="C800" s="14">
        <v>-2.7200868935061295E-15</v>
      </c>
      <c r="D800" s="14">
        <v>-3.9217513739858385E-12</v>
      </c>
    </row>
    <row r="801" spans="1:4" x14ac:dyDescent="0.55000000000000004">
      <c r="A801" s="8">
        <f t="shared" si="20"/>
        <v>3.9850000000000628E-2</v>
      </c>
      <c r="B801" s="8" cm="1">
        <f t="array" ref="B801">FAM(A801)</f>
        <v>-0.3137447456513584</v>
      </c>
      <c r="C801" s="14">
        <v>-6.276196428556037E-15</v>
      </c>
      <c r="D801" s="14">
        <v>-0.31374474565135835</v>
      </c>
    </row>
    <row r="802" spans="1:4" x14ac:dyDescent="0.55000000000000004">
      <c r="A802" s="8">
        <f t="shared" si="20"/>
        <v>3.9900000000000629E-2</v>
      </c>
      <c r="B802" s="8" cm="1">
        <f t="array" ref="B802">FAM(A802)</f>
        <v>-0.46237524938149649</v>
      </c>
      <c r="C802" s="14">
        <v>-3.3079752222679268E-15</v>
      </c>
      <c r="D802" s="14">
        <v>-0.4623752493814966</v>
      </c>
    </row>
    <row r="803" spans="1:4" x14ac:dyDescent="0.55000000000000004">
      <c r="A803" s="8">
        <f t="shared" si="20"/>
        <v>3.9950000000000631E-2</v>
      </c>
      <c r="B803" s="8" cm="1">
        <f t="array" ref="B803">FAM(A803)</f>
        <v>-0.34023131801033263</v>
      </c>
      <c r="C803" s="15">
        <v>-6.7344523526708976E-15</v>
      </c>
      <c r="D803" s="15">
        <v>-0.34023131801033263</v>
      </c>
    </row>
    <row r="804" spans="1:4" x14ac:dyDescent="0.55000000000000004">
      <c r="A804" s="4">
        <f t="shared" si="20"/>
        <v>4.0000000000000632E-2</v>
      </c>
      <c r="B804" s="4" cm="1">
        <f t="array" ref="B804">FAM(A804)</f>
        <v>4.6631247333120673E-12</v>
      </c>
      <c r="C804" s="13">
        <v>-2.9297437578701184E-15</v>
      </c>
      <c r="D804" s="13">
        <v>4.6631542512996203E-12</v>
      </c>
    </row>
    <row r="805" spans="1:4" x14ac:dyDescent="0.55000000000000004">
      <c r="A805" s="8">
        <f t="shared" si="20"/>
        <v>4.0050000000000634E-2</v>
      </c>
      <c r="B805" s="8" cm="1">
        <f t="array" ref="B805">FAM(A805)</f>
        <v>0.36687546317679526</v>
      </c>
      <c r="C805" s="14">
        <v>-6.9805636672541197E-15</v>
      </c>
      <c r="D805" s="14">
        <v>0.36687546317679559</v>
      </c>
    </row>
    <row r="806" spans="1:4" x14ac:dyDescent="0.55000000000000004">
      <c r="A806" s="8">
        <f t="shared" si="20"/>
        <v>4.0100000000000635E-2</v>
      </c>
      <c r="B806" s="8" cm="1">
        <f t="array" ref="B806">FAM(A806)</f>
        <v>0.53762475061894521</v>
      </c>
      <c r="C806" s="14">
        <v>-2.6377736441898359E-15</v>
      </c>
      <c r="D806" s="14">
        <v>0.53762475061894555</v>
      </c>
    </row>
    <row r="807" spans="1:4" x14ac:dyDescent="0.55000000000000004">
      <c r="A807" s="8">
        <f t="shared" si="20"/>
        <v>4.0150000000000637E-2</v>
      </c>
      <c r="B807" s="8" cm="1">
        <f t="array" ref="B807">FAM(A807)</f>
        <v>0.39336203553470656</v>
      </c>
      <c r="C807" s="14">
        <v>-6.5659100701210209E-15</v>
      </c>
      <c r="D807" s="14">
        <v>0.39336203553470672</v>
      </c>
    </row>
    <row r="808" spans="1:4" x14ac:dyDescent="0.55000000000000004">
      <c r="A808" s="8">
        <f t="shared" si="20"/>
        <v>4.0200000000000638E-2</v>
      </c>
      <c r="B808" s="8" cm="1">
        <f t="array" ref="B808">FAM(A808)</f>
        <v>-5.3545745773359715E-12</v>
      </c>
      <c r="C808" s="14">
        <v>-2.2082857995945707E-15</v>
      </c>
      <c r="D808" s="14">
        <v>-5.3546036831972689E-12</v>
      </c>
    </row>
    <row r="809" spans="1:4" x14ac:dyDescent="0.55000000000000004">
      <c r="A809" s="8">
        <f t="shared" si="20"/>
        <v>4.0250000000000639E-2</v>
      </c>
      <c r="B809" s="8" cm="1">
        <f t="array" ref="B809">FAM(A809)</f>
        <v>-0.41937816725049848</v>
      </c>
      <c r="C809" s="14">
        <v>-6.0132255548199473E-15</v>
      </c>
      <c r="D809" s="14">
        <v>-0.41937816725049859</v>
      </c>
    </row>
    <row r="810" spans="1:4" x14ac:dyDescent="0.55000000000000004">
      <c r="A810" s="8">
        <f t="shared" si="20"/>
        <v>4.0300000000000641E-2</v>
      </c>
      <c r="B810" s="8" cm="1">
        <f t="array" ref="B810">FAM(A810)</f>
        <v>-0.61110117345429538</v>
      </c>
      <c r="C810" s="14">
        <v>-2.0317865286914459E-15</v>
      </c>
      <c r="D810" s="14">
        <v>-0.61110117345429538</v>
      </c>
    </row>
    <row r="811" spans="1:4" x14ac:dyDescent="0.55000000000000004">
      <c r="A811" s="8">
        <f t="shared" si="20"/>
        <v>4.0350000000000642E-2</v>
      </c>
      <c r="B811" s="8" cm="1">
        <f t="array" ref="B811">FAM(A811)</f>
        <v>-0.44461778851241579</v>
      </c>
      <c r="C811" s="14">
        <v>-5.9781011870305671E-15</v>
      </c>
      <c r="D811" s="14">
        <v>-0.44461778851241601</v>
      </c>
    </row>
    <row r="812" spans="1:4" x14ac:dyDescent="0.55000000000000004">
      <c r="A812" s="8">
        <f t="shared" si="20"/>
        <v>4.0400000000000644E-2</v>
      </c>
      <c r="B812" s="8" cm="1">
        <f t="array" ref="B812">FAM(A812)</f>
        <v>6.0851058352981689E-12</v>
      </c>
      <c r="C812" s="14">
        <v>-3.13773218997891E-15</v>
      </c>
      <c r="D812" s="14">
        <v>6.0851307000254305E-12</v>
      </c>
    </row>
    <row r="813" spans="1:4" x14ac:dyDescent="0.55000000000000004">
      <c r="A813" s="8">
        <f t="shared" si="20"/>
        <v>4.0450000000000645E-2</v>
      </c>
      <c r="B813" s="8" cm="1">
        <f t="array" ref="B813">FAM(A813)</f>
        <v>0.46878604324630507</v>
      </c>
      <c r="C813" s="14">
        <v>-6.9867613147531462E-15</v>
      </c>
      <c r="D813" s="14">
        <v>0.46878604324630535</v>
      </c>
    </row>
    <row r="814" spans="1:4" x14ac:dyDescent="0.55000000000000004">
      <c r="A814" s="8">
        <f t="shared" si="20"/>
        <v>4.0500000000000647E-2</v>
      </c>
      <c r="B814" s="8" cm="1">
        <f t="array" ref="B814">FAM(A814)</f>
        <v>0.67936044933367989</v>
      </c>
      <c r="C814" s="14">
        <v>-2.6886906894702473E-15</v>
      </c>
      <c r="D814" s="14">
        <v>0.67936044933367989</v>
      </c>
    </row>
    <row r="815" spans="1:4" x14ac:dyDescent="0.55000000000000004">
      <c r="A815" s="8">
        <f t="shared" si="20"/>
        <v>4.0550000000000648E-2</v>
      </c>
      <c r="B815" s="8" cm="1">
        <f t="array" ref="B815">FAM(A815)</f>
        <v>0.49160353180726329</v>
      </c>
      <c r="C815" s="14">
        <v>-6.5177106855185844E-15</v>
      </c>
      <c r="D815" s="14">
        <v>0.49160353180726352</v>
      </c>
    </row>
    <row r="816" spans="1:4" x14ac:dyDescent="0.55000000000000004">
      <c r="A816" s="8">
        <f t="shared" si="20"/>
        <v>4.0600000000000649E-2</v>
      </c>
      <c r="B816" s="8" cm="1">
        <f t="array" ref="B816">FAM(A816)</f>
        <v>-6.76519726334325E-12</v>
      </c>
      <c r="C816" s="14">
        <v>-2.0715639214088872E-15</v>
      </c>
      <c r="D816" s="14">
        <v>-6.7652214868101622E-12</v>
      </c>
    </row>
    <row r="817" spans="1:4" x14ac:dyDescent="0.55000000000000004">
      <c r="A817" s="8">
        <f t="shared" si="20"/>
        <v>4.0650000000000651E-2</v>
      </c>
      <c r="B817" s="8" cm="1">
        <f t="array" ref="B817">FAM(A817)</f>
        <v>-0.51281031586306569</v>
      </c>
      <c r="C817" s="14">
        <v>-6.2511012958617303E-15</v>
      </c>
      <c r="D817" s="14">
        <v>-0.51281031586306591</v>
      </c>
    </row>
    <row r="818" spans="1:4" x14ac:dyDescent="0.55000000000000004">
      <c r="A818" s="8">
        <f t="shared" si="20"/>
        <v>4.0700000000000652E-2</v>
      </c>
      <c r="B818" s="8" cm="1">
        <f t="array" ref="B818">FAM(A818)</f>
        <v>-0.73925850686833972</v>
      </c>
      <c r="C818" s="14">
        <v>-2.1437075242630804E-15</v>
      </c>
      <c r="D818" s="14">
        <v>-0.73925850686833949</v>
      </c>
    </row>
    <row r="819" spans="1:4" x14ac:dyDescent="0.55000000000000004">
      <c r="A819" s="8">
        <f t="shared" si="20"/>
        <v>4.0750000000000654E-2</v>
      </c>
      <c r="B819" s="8" cm="1">
        <f t="array" ref="B819">FAM(A819)</f>
        <v>-0.53216962334380569</v>
      </c>
      <c r="C819" s="14">
        <v>-6.641298540245639E-15</v>
      </c>
      <c r="D819" s="14">
        <v>-0.53216962334380569</v>
      </c>
    </row>
    <row r="820" spans="1:4" x14ac:dyDescent="0.55000000000000004">
      <c r="A820" s="8">
        <f t="shared" si="20"/>
        <v>4.0800000000000655E-2</v>
      </c>
      <c r="B820" s="8" cm="1">
        <f t="array" ref="B820">FAM(A820)</f>
        <v>7.364585384534469E-12</v>
      </c>
      <c r="C820" s="14">
        <v>-1.7402487729640704E-15</v>
      </c>
      <c r="D820" s="14">
        <v>7.3646007538289181E-12</v>
      </c>
    </row>
    <row r="821" spans="1:4" x14ac:dyDescent="0.55000000000000004">
      <c r="A821" s="8">
        <f t="shared" si="20"/>
        <v>4.0850000000000657E-2</v>
      </c>
      <c r="B821" s="8" cm="1">
        <f t="array" ref="B821">FAM(A821)</f>
        <v>0.54947119716670156</v>
      </c>
      <c r="C821" s="14">
        <v>-4.1197129352785873E-15</v>
      </c>
      <c r="D821" s="14">
        <v>0.5494711971667019</v>
      </c>
    </row>
    <row r="822" spans="1:4" x14ac:dyDescent="0.55000000000000004">
      <c r="A822" s="8">
        <f t="shared" si="20"/>
        <v>4.0900000000000658E-2</v>
      </c>
      <c r="B822" s="8" cm="1">
        <f t="array" ref="B822">FAM(A822)</f>
        <v>0.78813076948913441</v>
      </c>
      <c r="C822" s="14">
        <v>-1.2228027512134747E-15</v>
      </c>
      <c r="D822" s="14">
        <v>0.7881307694891343</v>
      </c>
    </row>
    <row r="823" spans="1:4" x14ac:dyDescent="0.55000000000000004">
      <c r="A823" s="8">
        <f t="shared" si="20"/>
        <v>4.0950000000000659E-2</v>
      </c>
      <c r="B823" s="8" cm="1">
        <f t="array" ref="B823">FAM(A823)</f>
        <v>0.56453423583408746</v>
      </c>
      <c r="C823" s="14">
        <v>-4.4339518648267644E-15</v>
      </c>
      <c r="D823" s="14">
        <v>0.56453423583408757</v>
      </c>
    </row>
    <row r="824" spans="1:4" x14ac:dyDescent="0.55000000000000004">
      <c r="A824" s="8">
        <f t="shared" si="20"/>
        <v>4.1000000000000661E-2</v>
      </c>
      <c r="B824" s="8" cm="1">
        <f t="array" ref="B824">FAM(A824)</f>
        <v>-7.8572385363368775E-12</v>
      </c>
      <c r="C824" s="14">
        <v>-4.6096479699465514E-15</v>
      </c>
      <c r="D824" s="14">
        <v>-7.8572537032728891E-12</v>
      </c>
    </row>
    <row r="825" spans="1:4" x14ac:dyDescent="0.55000000000000004">
      <c r="A825" s="8">
        <f t="shared" si="20"/>
        <v>4.1050000000000662E-2</v>
      </c>
      <c r="B825" s="8" cm="1">
        <f t="array" ref="B825">FAM(A825)</f>
        <v>-0.57720988164939058</v>
      </c>
      <c r="C825" s="14">
        <v>-7.2886673064831775E-15</v>
      </c>
      <c r="D825" s="14">
        <v>-0.5772098816493908</v>
      </c>
    </row>
    <row r="826" spans="1:4" x14ac:dyDescent="0.55000000000000004">
      <c r="A826" s="8">
        <f t="shared" si="20"/>
        <v>4.1100000000000664E-2</v>
      </c>
      <c r="B826" s="8" cm="1">
        <f t="array" ref="B826">FAM(A826)</f>
        <v>-0.82394224809556493</v>
      </c>
      <c r="C826" s="14">
        <v>-5.1294458559168352E-15</v>
      </c>
      <c r="D826" s="14">
        <v>-0.82394224809556482</v>
      </c>
    </row>
    <row r="827" spans="1:4" x14ac:dyDescent="0.55000000000000004">
      <c r="A827" s="8">
        <f t="shared" si="20"/>
        <v>4.1150000000000665E-2</v>
      </c>
      <c r="B827" s="8" cm="1">
        <f t="array" ref="B827">FAM(A827)</f>
        <v>-0.5873832180803662</v>
      </c>
      <c r="C827" s="14">
        <v>-8.394592323426939E-15</v>
      </c>
      <c r="D827" s="14">
        <v>-0.5873832180803662</v>
      </c>
    </row>
    <row r="828" spans="1:4" x14ac:dyDescent="0.55000000000000004">
      <c r="A828" s="8">
        <f t="shared" si="20"/>
        <v>4.1200000000000667E-2</v>
      </c>
      <c r="B828" s="8" cm="1">
        <f t="array" ref="B828">FAM(A828)</f>
        <v>8.2229401758548267E-12</v>
      </c>
      <c r="C828" s="14">
        <v>-2.5379824398782466E-15</v>
      </c>
      <c r="D828" s="14">
        <v>8.2229431939456756E-12</v>
      </c>
    </row>
    <row r="829" spans="1:4" x14ac:dyDescent="0.55000000000000004">
      <c r="A829" s="8">
        <f t="shared" si="20"/>
        <v>4.1250000000000668E-2</v>
      </c>
      <c r="B829" s="8" cm="1">
        <f t="array" ref="B829">FAM(A829)</f>
        <v>0.59497474683645279</v>
      </c>
      <c r="C829" s="14">
        <v>-6.9885080828912927E-15</v>
      </c>
      <c r="D829" s="14">
        <v>0.59497474683645313</v>
      </c>
    </row>
    <row r="830" spans="1:4" x14ac:dyDescent="0.55000000000000004">
      <c r="A830" s="8">
        <f t="shared" si="20"/>
        <v>4.130000000000067E-2</v>
      </c>
      <c r="B830" s="8" cm="1">
        <f t="array" ref="B830">FAM(A830)</f>
        <v>0.84539907116998048</v>
      </c>
      <c r="C830" s="14">
        <v>-1.913474718873062E-15</v>
      </c>
      <c r="D830" s="14">
        <v>0.84539907116998048</v>
      </c>
    </row>
    <row r="831" spans="1:4" x14ac:dyDescent="0.55000000000000004">
      <c r="A831" s="8">
        <f t="shared" si="20"/>
        <v>4.1350000000000671E-2</v>
      </c>
      <c r="B831" s="8" cm="1">
        <f t="array" ref="B831">FAM(A831)</f>
        <v>0.59994132198601213</v>
      </c>
      <c r="C831" s="14">
        <v>-6.9471522800484381E-15</v>
      </c>
      <c r="D831" s="14">
        <v>0.59994132198601224</v>
      </c>
    </row>
    <row r="832" spans="1:4" x14ac:dyDescent="0.55000000000000004">
      <c r="A832" s="8">
        <f t="shared" si="20"/>
        <v>4.1400000000000672E-2</v>
      </c>
      <c r="B832" s="8" cm="1">
        <f t="array" ref="B832">FAM(A832)</f>
        <v>-8.4485337228837294E-12</v>
      </c>
      <c r="C832" s="14">
        <v>-2.3248036006387249E-15</v>
      </c>
      <c r="D832" s="14">
        <v>-8.4485379109288717E-12</v>
      </c>
    </row>
    <row r="833" spans="1:4" x14ac:dyDescent="0.55000000000000004">
      <c r="A833" s="8">
        <f t="shared" si="20"/>
        <v>4.1450000000000674E-2</v>
      </c>
      <c r="B833" s="8" cm="1">
        <f t="array" ref="B833">FAM(A833)</f>
        <v>-0.60227652836255363</v>
      </c>
      <c r="C833" s="14">
        <v>-6.9499897919708861E-15</v>
      </c>
      <c r="D833" s="14">
        <v>-0.60227652836255385</v>
      </c>
    </row>
    <row r="834" spans="1:4" x14ac:dyDescent="0.55000000000000004">
      <c r="A834" s="8">
        <f t="shared" si="20"/>
        <v>4.1500000000000675E-2</v>
      </c>
      <c r="B834" s="8" cm="1">
        <f t="array" ref="B834">FAM(A834)</f>
        <v>-0.85201470213401775</v>
      </c>
      <c r="C834" s="14">
        <v>-1.5956973983879589E-15</v>
      </c>
      <c r="D834" s="14">
        <v>-0.85201470213401753</v>
      </c>
    </row>
    <row r="835" spans="1:4" x14ac:dyDescent="0.55000000000000004">
      <c r="A835" s="8">
        <f t="shared" si="20"/>
        <v>4.1550000000000677E-2</v>
      </c>
      <c r="B835" s="8" cm="1">
        <f t="array" ref="B835">FAM(A835)</f>
        <v>-0.60201049875058954</v>
      </c>
      <c r="C835" s="14">
        <v>-6.0791795715405022E-15</v>
      </c>
      <c r="D835" s="14">
        <v>-0.60201049875058954</v>
      </c>
    </row>
    <row r="836" spans="1:4" x14ac:dyDescent="0.55000000000000004">
      <c r="A836" s="8">
        <f t="shared" si="20"/>
        <v>4.1600000000000678E-2</v>
      </c>
      <c r="B836" s="8" cm="1">
        <f t="array" ref="B836">FAM(A836)</f>
        <v>8.5287445156676983E-12</v>
      </c>
      <c r="C836" s="14">
        <v>-1.98554169748442E-15</v>
      </c>
      <c r="D836" s="14">
        <v>8.5287349602004296E-12</v>
      </c>
    </row>
    <row r="837" spans="1:4" x14ac:dyDescent="0.55000000000000004">
      <c r="A837" s="8">
        <f t="shared" si="20"/>
        <v>4.165000000000068E-2</v>
      </c>
      <c r="B837" s="8" cm="1">
        <f t="array" ref="B837">FAM(A837)</f>
        <v>0.59920917460020884</v>
      </c>
      <c r="C837" s="14">
        <v>-6.4799477192742743E-15</v>
      </c>
      <c r="D837" s="14">
        <v>0.59920917460020895</v>
      </c>
    </row>
    <row r="838" spans="1:4" x14ac:dyDescent="0.55000000000000004">
      <c r="A838" s="8">
        <f t="shared" ref="A838:A901" si="21">A837+0.00005</f>
        <v>4.1700000000000681E-2</v>
      </c>
      <c r="B838" s="8" cm="1">
        <f t="array" ref="B838">FAM(A838)</f>
        <v>0.84412692110912835</v>
      </c>
      <c r="C838" s="14">
        <v>-2.5697978353013362E-15</v>
      </c>
      <c r="D838" s="14">
        <v>0.84412692110912824</v>
      </c>
    </row>
    <row r="839" spans="1:4" x14ac:dyDescent="0.55000000000000004">
      <c r="A839" s="8">
        <f t="shared" si="21"/>
        <v>4.1750000000000682E-2</v>
      </c>
      <c r="B839" s="8" cm="1">
        <f t="array" ref="B839">FAM(A839)</f>
        <v>0.59397302221780646</v>
      </c>
      <c r="C839" s="14">
        <v>-6.9110302212105092E-15</v>
      </c>
      <c r="D839" s="14">
        <v>0.59397302221780668</v>
      </c>
    </row>
    <row r="840" spans="1:4" x14ac:dyDescent="0.55000000000000004">
      <c r="A840" s="8">
        <f t="shared" si="21"/>
        <v>4.1800000000000684E-2</v>
      </c>
      <c r="B840" s="8" cm="1">
        <f t="array" ref="B840">FAM(A840)</f>
        <v>-8.3715839132812192E-12</v>
      </c>
      <c r="C840" s="14">
        <v>-2.2004652961271131E-15</v>
      </c>
      <c r="D840" s="14">
        <v>-8.3715778124491269E-12</v>
      </c>
    </row>
    <row r="841" spans="1:4" x14ac:dyDescent="0.55000000000000004">
      <c r="A841" s="8">
        <f t="shared" si="21"/>
        <v>4.1850000000000685E-2</v>
      </c>
      <c r="B841" s="8" cm="1">
        <f t="array" ref="B841">FAM(A841)</f>
        <v>-0.58643522640082479</v>
      </c>
      <c r="C841" s="14">
        <v>-6.6755528240109795E-15</v>
      </c>
      <c r="D841" s="14">
        <v>-0.58643522640082502</v>
      </c>
    </row>
    <row r="842" spans="1:4" x14ac:dyDescent="0.55000000000000004">
      <c r="A842" s="8">
        <f t="shared" si="21"/>
        <v>4.1900000000000687E-2</v>
      </c>
      <c r="B842" s="8" cm="1">
        <f t="array" ref="B842">FAM(A842)</f>
        <v>-0.82286471836329989</v>
      </c>
      <c r="C842" s="14">
        <v>-1.6113356678784389E-15</v>
      </c>
      <c r="D842" s="14">
        <v>-0.82286471836329977</v>
      </c>
    </row>
    <row r="843" spans="1:4" x14ac:dyDescent="0.55000000000000004">
      <c r="A843" s="8">
        <f t="shared" si="21"/>
        <v>4.1950000000000688E-2</v>
      </c>
      <c r="B843" s="8" cm="1">
        <f t="array" ref="B843">FAM(A843)</f>
        <v>-0.5767593901189112</v>
      </c>
      <c r="C843" s="14">
        <v>-6.35886156612902E-15</v>
      </c>
      <c r="D843" s="14">
        <v>-0.57675939011891131</v>
      </c>
    </row>
    <row r="844" spans="1:4" x14ac:dyDescent="0.55000000000000004">
      <c r="A844" s="8">
        <f t="shared" si="21"/>
        <v>4.200000000000069E-2</v>
      </c>
      <c r="B844" s="8" cm="1">
        <f t="array" ref="B844">FAM(A844)</f>
        <v>8.1810278946599481E-12</v>
      </c>
      <c r="C844" s="14">
        <v>-1.9448597224742727E-15</v>
      </c>
      <c r="D844" s="14">
        <v>8.181008198761368E-12</v>
      </c>
    </row>
    <row r="845" spans="1:4" x14ac:dyDescent="0.55000000000000004">
      <c r="A845" s="8">
        <f t="shared" si="21"/>
        <v>4.2050000000000691E-2</v>
      </c>
      <c r="B845" s="8" cm="1">
        <f t="array" ref="B845">FAM(A845)</f>
        <v>0.56513677806774165</v>
      </c>
      <c r="C845" s="14">
        <v>-6.2462559480012471E-15</v>
      </c>
      <c r="D845" s="14">
        <v>0.56513677806774198</v>
      </c>
    </row>
    <row r="846" spans="1:4" x14ac:dyDescent="0.55000000000000004">
      <c r="A846" s="8">
        <f t="shared" si="21"/>
        <v>4.2100000000000692E-2</v>
      </c>
      <c r="B846" s="8" cm="1">
        <f t="array" ref="B846">FAM(A846)</f>
        <v>0.79006736704594682</v>
      </c>
      <c r="C846" s="14">
        <v>-2.1707775244683722E-15</v>
      </c>
      <c r="D846" s="14">
        <v>0.79006736704594682</v>
      </c>
    </row>
    <row r="847" spans="1:4" x14ac:dyDescent="0.55000000000000004">
      <c r="A847" s="8">
        <f t="shared" si="21"/>
        <v>4.2150000000000694E-2</v>
      </c>
      <c r="B847" s="8" cm="1">
        <f t="array" ref="B847">FAM(A847)</f>
        <v>0.55178314750651403</v>
      </c>
      <c r="C847" s="14">
        <v>-6.4039620116371748E-15</v>
      </c>
      <c r="D847" s="14">
        <v>0.55178314750651436</v>
      </c>
    </row>
    <row r="848" spans="1:4" x14ac:dyDescent="0.55000000000000004">
      <c r="A848" s="8">
        <f t="shared" si="21"/>
        <v>4.2200000000000695E-2</v>
      </c>
      <c r="B848" s="8" cm="1">
        <f t="array" ref="B848">FAM(A848)</f>
        <v>-7.8785927636140082E-12</v>
      </c>
      <c r="C848" s="14">
        <v>-2.3119854964802142E-15</v>
      </c>
      <c r="D848" s="14">
        <v>-7.8785793971357904E-12</v>
      </c>
    </row>
    <row r="849" spans="1:4" x14ac:dyDescent="0.55000000000000004">
      <c r="A849" s="8">
        <f t="shared" si="21"/>
        <v>4.2250000000000697E-2</v>
      </c>
      <c r="B849" s="8" cm="1">
        <f t="array" ref="B849">FAM(A849)</f>
        <v>-0.53693521771033381</v>
      </c>
      <c r="C849" s="14">
        <v>-6.5627503184859814E-15</v>
      </c>
      <c r="D849" s="14">
        <v>-0.53693521771033403</v>
      </c>
    </row>
    <row r="850" spans="1:4" x14ac:dyDescent="0.55000000000000004">
      <c r="A850" s="8">
        <f t="shared" si="21"/>
        <v>4.2300000000000698E-2</v>
      </c>
      <c r="B850" s="8" cm="1">
        <f t="array" ref="B850">FAM(A850)</f>
        <v>-0.74816091769571791</v>
      </c>
      <c r="C850" s="14">
        <v>-2.076595344990033E-15</v>
      </c>
      <c r="D850" s="14">
        <v>-0.74816091769571769</v>
      </c>
    </row>
    <row r="851" spans="1:4" x14ac:dyDescent="0.55000000000000004">
      <c r="A851" s="8">
        <f t="shared" si="21"/>
        <v>4.23500000000007E-2</v>
      </c>
      <c r="B851" s="8" cm="1">
        <f t="array" ref="B851">FAM(A851)</f>
        <v>-0.52084683348251659</v>
      </c>
      <c r="C851" s="14">
        <v>-6.6617404725925479E-15</v>
      </c>
      <c r="D851" s="14">
        <v>-0.52084683348251659</v>
      </c>
    </row>
    <row r="852" spans="1:4" x14ac:dyDescent="0.55000000000000004">
      <c r="A852" s="8">
        <f t="shared" si="21"/>
        <v>4.2400000000000701E-2</v>
      </c>
      <c r="B852" s="8" cm="1">
        <f t="array" ref="B852">FAM(A852)</f>
        <v>7.4885796183070763E-12</v>
      </c>
      <c r="C852" s="14">
        <v>-2.0556786940682473E-15</v>
      </c>
      <c r="D852" s="14">
        <v>7.4885542643121476E-12</v>
      </c>
    </row>
    <row r="853" spans="1:4" x14ac:dyDescent="0.55000000000000004">
      <c r="A853" s="8">
        <f t="shared" si="21"/>
        <v>4.2450000000000702E-2</v>
      </c>
      <c r="B853" s="8" cm="1">
        <f t="array" ref="B853">FAM(A853)</f>
        <v>0.50378488436403968</v>
      </c>
      <c r="C853" s="36">
        <v>-6.6788004722157141E-15</v>
      </c>
      <c r="D853" s="36">
        <v>0.5037848843640399</v>
      </c>
    </row>
    <row r="854" spans="1:4" x14ac:dyDescent="0.55000000000000004">
      <c r="A854" s="4">
        <f t="shared" si="21"/>
        <v>4.2500000000000704E-2</v>
      </c>
      <c r="B854" s="4" cm="1">
        <f t="array" ref="B854">FAM(A854)</f>
        <v>0.69999999999983342</v>
      </c>
      <c r="C854" s="13">
        <v>-2.3122807745730803E-15</v>
      </c>
      <c r="D854" s="13">
        <v>0.69999999999983342</v>
      </c>
    </row>
    <row r="855" spans="1:4" x14ac:dyDescent="0.55000000000000004">
      <c r="A855" s="8">
        <f t="shared" si="21"/>
        <v>4.2550000000000705E-2</v>
      </c>
      <c r="B855" s="8" cm="1">
        <f t="array" ref="B855">FAM(A855)</f>
        <v>0.48602504349245185</v>
      </c>
      <c r="C855" s="14">
        <v>-6.5681621258567355E-15</v>
      </c>
      <c r="D855" s="14">
        <v>0.48602504349245218</v>
      </c>
    </row>
    <row r="856" spans="1:4" x14ac:dyDescent="0.55000000000000004">
      <c r="A856" s="8">
        <f t="shared" si="21"/>
        <v>4.2600000000000707E-2</v>
      </c>
      <c r="B856" s="8" cm="1">
        <f t="array" ref="B856">FAM(A856)</f>
        <v>-7.0399289043832422E-12</v>
      </c>
      <c r="C856" s="14">
        <v>-2.0803276424410903E-15</v>
      </c>
      <c r="D856" s="14">
        <v>-7.0399127856724059E-12</v>
      </c>
    </row>
    <row r="857" spans="1:4" x14ac:dyDescent="0.55000000000000004">
      <c r="A857" s="8">
        <f t="shared" si="21"/>
        <v>4.2650000000000708E-2</v>
      </c>
      <c r="B857" s="8" cm="1">
        <f t="array" ref="B857">FAM(A857)</f>
        <v>-0.46784739420822513</v>
      </c>
      <c r="C857" s="14">
        <v>-6.604679270847792E-15</v>
      </c>
      <c r="D857" s="14">
        <v>-0.46784739420822524</v>
      </c>
    </row>
    <row r="858" spans="1:4" x14ac:dyDescent="0.55000000000000004">
      <c r="A858" s="8">
        <f t="shared" si="21"/>
        <v>4.270000000000071E-2</v>
      </c>
      <c r="B858" s="8" cm="1">
        <f t="array" ref="B858">FAM(A858)</f>
        <v>-0.64868496282975163</v>
      </c>
      <c r="C858" s="14">
        <v>-1.6884383949464618E-15</v>
      </c>
      <c r="D858" s="14">
        <v>-0.64868496282975152</v>
      </c>
    </row>
    <row r="859" spans="1:4" x14ac:dyDescent="0.55000000000000004">
      <c r="A859" s="8">
        <f t="shared" si="21"/>
        <v>4.2750000000000711E-2</v>
      </c>
      <c r="B859" s="8" cm="1">
        <f t="array" ref="B859">FAM(A859)</f>
        <v>-0.44953201281031041</v>
      </c>
      <c r="C859" s="14">
        <v>-6.5251433376433999E-15</v>
      </c>
      <c r="D859" s="14">
        <v>-0.44953201281031041</v>
      </c>
    </row>
    <row r="860" spans="1:4" x14ac:dyDescent="0.55000000000000004">
      <c r="A860" s="8">
        <f t="shared" si="21"/>
        <v>4.2800000000000712E-2</v>
      </c>
      <c r="B860" s="8" cm="1">
        <f t="array" ref="B860">FAM(A860)</f>
        <v>6.5643828141019184E-12</v>
      </c>
      <c r="C860" s="14">
        <v>-1.7726563741050568E-15</v>
      </c>
      <c r="D860" s="14">
        <v>6.5643572491996229E-12</v>
      </c>
    </row>
    <row r="861" spans="1:4" x14ac:dyDescent="0.55000000000000004">
      <c r="A861" s="8">
        <f t="shared" si="21"/>
        <v>4.2850000000000714E-2</v>
      </c>
      <c r="B861" s="8" cm="1">
        <f t="array" ref="B861">FAM(A861)</f>
        <v>0.43135457777489389</v>
      </c>
      <c r="C861" s="14">
        <v>-6.5180613796609758E-15</v>
      </c>
      <c r="D861" s="14">
        <v>0.43135457777489394</v>
      </c>
    </row>
    <row r="862" spans="1:4" x14ac:dyDescent="0.55000000000000004">
      <c r="A862" s="8">
        <f t="shared" si="21"/>
        <v>4.2900000000000715E-2</v>
      </c>
      <c r="B862" s="8" cm="1">
        <f t="array" ref="B862">FAM(A862)</f>
        <v>0.59736589740521429</v>
      </c>
      <c r="C862" s="14">
        <v>-2.0600350086315961E-15</v>
      </c>
      <c r="D862" s="14">
        <v>0.59736589740521429</v>
      </c>
    </row>
    <row r="863" spans="1:4" x14ac:dyDescent="0.55000000000000004">
      <c r="A863" s="8">
        <f t="shared" si="21"/>
        <v>4.2950000000000717E-2</v>
      </c>
      <c r="B863" s="8" cm="1">
        <f t="array" ref="B863">FAM(A863)</f>
        <v>0.41358207394912588</v>
      </c>
      <c r="C863" s="14">
        <v>-6.5492023797761674E-15</v>
      </c>
      <c r="D863" s="14">
        <v>0.41358207394912599</v>
      </c>
    </row>
    <row r="864" spans="1:4" x14ac:dyDescent="0.55000000000000004">
      <c r="A864" s="8">
        <f t="shared" si="21"/>
        <v>4.3000000000000718E-2</v>
      </c>
      <c r="B864" s="8" cm="1">
        <f t="array" ref="B864">FAM(A864)</f>
        <v>-6.0944552884821764E-12</v>
      </c>
      <c r="C864" s="14">
        <v>-1.9034620379115124E-15</v>
      </c>
      <c r="D864" s="14">
        <v>-6.0944412287534345E-12</v>
      </c>
    </row>
    <row r="865" spans="1:4" x14ac:dyDescent="0.55000000000000004">
      <c r="A865" s="8">
        <f t="shared" si="21"/>
        <v>4.305000000000072E-2</v>
      </c>
      <c r="B865" s="8" cm="1">
        <f t="array" ref="B865">FAM(A865)</f>
        <v>-0.39646865987202096</v>
      </c>
      <c r="C865" s="14">
        <v>-6.5607333920773475E-15</v>
      </c>
      <c r="D865" s="14">
        <v>-0.39646865987202101</v>
      </c>
    </row>
    <row r="866" spans="1:4" x14ac:dyDescent="0.55000000000000004">
      <c r="A866" s="8">
        <f t="shared" si="21"/>
        <v>4.3100000000000721E-2</v>
      </c>
      <c r="B866" s="8" cm="1">
        <f t="array" ref="B866">FAM(A866)</f>
        <v>-0.54904587599175736</v>
      </c>
      <c r="C866" s="14">
        <v>-1.7353661715198649E-15</v>
      </c>
      <c r="D866" s="14">
        <v>-0.54904587599175736</v>
      </c>
    </row>
    <row r="867" spans="1:4" x14ac:dyDescent="0.55000000000000004">
      <c r="A867" s="8">
        <f t="shared" si="21"/>
        <v>4.3150000000000722E-2</v>
      </c>
      <c r="B867" s="8" cm="1">
        <f t="array" ref="B867">FAM(A867)</f>
        <v>-0.38025176250201964</v>
      </c>
      <c r="C867" s="14">
        <v>-6.692924994321465E-15</v>
      </c>
      <c r="D867" s="14">
        <v>-0.38025176250201959</v>
      </c>
    </row>
    <row r="868" spans="1:4" x14ac:dyDescent="0.55000000000000004">
      <c r="A868" s="8">
        <f t="shared" si="21"/>
        <v>4.3200000000000724E-2</v>
      </c>
      <c r="B868" s="8" cm="1">
        <f t="array" ref="B868">FAM(A868)</f>
        <v>5.6014408543902329E-12</v>
      </c>
      <c r="C868" s="14">
        <v>-1.7061529559115875E-15</v>
      </c>
      <c r="D868" s="14">
        <v>5.6014201949027566E-12</v>
      </c>
    </row>
    <row r="869" spans="1:4" x14ac:dyDescent="0.55000000000000004">
      <c r="A869" s="8">
        <f t="shared" si="21"/>
        <v>4.3250000000000725E-2</v>
      </c>
      <c r="B869" s="8" cm="1">
        <f t="array" ref="B869">FAM(A869)</f>
        <v>0.36514846110056109</v>
      </c>
      <c r="C869" s="14">
        <v>-6.5301078559850209E-15</v>
      </c>
      <c r="D869" s="14">
        <v>0.36514846110056132</v>
      </c>
    </row>
    <row r="870" spans="1:4" x14ac:dyDescent="0.55000000000000004">
      <c r="A870" s="8">
        <f t="shared" si="21"/>
        <v>4.3300000000000727E-2</v>
      </c>
      <c r="B870" s="8" cm="1">
        <f t="array" ref="B870">FAM(A870)</f>
        <v>0.50639575090823685</v>
      </c>
      <c r="C870" s="14">
        <v>-1.4492061780812878E-15</v>
      </c>
      <c r="D870" s="14">
        <v>0.50639575090823696</v>
      </c>
    </row>
    <row r="871" spans="1:4" x14ac:dyDescent="0.55000000000000004">
      <c r="A871" s="8">
        <f t="shared" si="21"/>
        <v>4.3350000000000728E-2</v>
      </c>
      <c r="B871" s="8" cm="1">
        <f t="array" ref="B871">FAM(A871)</f>
        <v>0.35135221624713314</v>
      </c>
      <c r="C871" s="14">
        <v>-6.4007699569825811E-15</v>
      </c>
      <c r="D871" s="14">
        <v>0.35135221624713325</v>
      </c>
    </row>
    <row r="872" spans="1:4" x14ac:dyDescent="0.55000000000000004">
      <c r="A872" s="8">
        <f t="shared" si="21"/>
        <v>4.340000000000073E-2</v>
      </c>
      <c r="B872" s="8" cm="1">
        <f t="array" ref="B872">FAM(A872)</f>
        <v>-5.2374107248485775E-12</v>
      </c>
      <c r="C872" s="14">
        <v>-1.7384107018771839E-15</v>
      </c>
      <c r="D872" s="14">
        <v>-5.2374025911339488E-12</v>
      </c>
    </row>
    <row r="873" spans="1:4" x14ac:dyDescent="0.55000000000000004">
      <c r="A873" s="8">
        <f t="shared" si="21"/>
        <v>4.3450000000000731E-2</v>
      </c>
      <c r="B873" s="8" cm="1">
        <f t="array" ref="B873">FAM(A873)</f>
        <v>-0.33902999549642687</v>
      </c>
      <c r="C873" s="14">
        <v>-6.5602787045661585E-15</v>
      </c>
      <c r="D873" s="14">
        <v>-0.33902999549642693</v>
      </c>
    </row>
    <row r="874" spans="1:4" x14ac:dyDescent="0.55000000000000004">
      <c r="A874" s="8">
        <f t="shared" si="21"/>
        <v>4.3500000000000733E-2</v>
      </c>
      <c r="B874" s="8" cm="1">
        <f t="array" ref="B874">FAM(A874)</f>
        <v>-0.47159209561585491</v>
      </c>
      <c r="C874" s="14">
        <v>-1.8089334346218806E-15</v>
      </c>
      <c r="D874" s="14">
        <v>-0.47159209561585475</v>
      </c>
    </row>
    <row r="875" spans="1:4" x14ac:dyDescent="0.55000000000000004">
      <c r="A875" s="8">
        <f t="shared" si="21"/>
        <v>4.3550000000000734E-2</v>
      </c>
      <c r="B875" s="8" cm="1">
        <f t="array" ref="B875">FAM(A875)</f>
        <v>-0.32831983980208423</v>
      </c>
      <c r="C875" s="14">
        <v>-6.5823767245422296E-15</v>
      </c>
      <c r="D875" s="14">
        <v>-0.32831983980208435</v>
      </c>
    </row>
    <row r="876" spans="1:4" x14ac:dyDescent="0.55000000000000004">
      <c r="A876" s="8">
        <f t="shared" si="21"/>
        <v>4.3600000000000735E-2</v>
      </c>
      <c r="B876" s="8" cm="1">
        <f t="array" ref="B876">FAM(A876)</f>
        <v>4.9597303546945102E-12</v>
      </c>
      <c r="C876" s="14">
        <v>-1.5426465411344098E-15</v>
      </c>
      <c r="D876" s="14">
        <v>4.9597181962764161E-12</v>
      </c>
    </row>
    <row r="877" spans="1:4" x14ac:dyDescent="0.55000000000000004">
      <c r="A877" s="8">
        <f t="shared" si="21"/>
        <v>4.3650000000000737E-2</v>
      </c>
      <c r="B877" s="8" cm="1">
        <f t="array" ref="B877">FAM(A877)</f>
        <v>0.31932890878959652</v>
      </c>
      <c r="C877" s="14">
        <v>-6.5858070334260444E-15</v>
      </c>
      <c r="D877" s="14">
        <v>0.31932890878959658</v>
      </c>
    </row>
    <row r="878" spans="1:4" x14ac:dyDescent="0.55000000000000004">
      <c r="A878" s="8">
        <f t="shared" si="21"/>
        <v>4.3700000000000738E-2</v>
      </c>
      <c r="B878" s="8" cm="1">
        <f t="array" ref="B878">FAM(A878)</f>
        <v>0.44618837979855719</v>
      </c>
      <c r="C878" s="14">
        <v>-1.7200590938914066E-15</v>
      </c>
      <c r="D878" s="14">
        <v>0.44618837979855719</v>
      </c>
    </row>
    <row r="879" spans="1:4" x14ac:dyDescent="0.55000000000000004">
      <c r="A879" s="8">
        <f t="shared" si="21"/>
        <v>4.375000000000074E-2</v>
      </c>
      <c r="B879" s="8" cm="1">
        <f t="array" ref="B879">FAM(A879)</f>
        <v>0.31213203435253173</v>
      </c>
      <c r="C879" s="14">
        <v>-6.6421923637702877E-15</v>
      </c>
      <c r="D879" s="14">
        <v>0.31213203435253184</v>
      </c>
    </row>
    <row r="880" spans="1:4" x14ac:dyDescent="0.55000000000000004">
      <c r="A880" s="8">
        <f t="shared" si="21"/>
        <v>4.3800000000000741E-2</v>
      </c>
      <c r="B880" s="8" cm="1">
        <f t="array" ref="B880">FAM(A880)</f>
        <v>-4.7842847268388978E-12</v>
      </c>
      <c r="C880" s="14">
        <v>-1.5688335559799958E-15</v>
      </c>
      <c r="D880" s="14">
        <v>-4.7842844609032292E-12</v>
      </c>
    </row>
    <row r="881" spans="1:4" x14ac:dyDescent="0.55000000000000004">
      <c r="A881" s="8">
        <f t="shared" si="21"/>
        <v>4.3850000000000743E-2</v>
      </c>
      <c r="B881" s="8" cm="1">
        <f t="array" ref="B881">FAM(A881)</f>
        <v>-0.30677080488361863</v>
      </c>
      <c r="C881" s="14">
        <v>-6.6117395354328958E-15</v>
      </c>
      <c r="D881" s="14">
        <v>-0.30677080488361863</v>
      </c>
    </row>
    <row r="882" spans="1:4" x14ac:dyDescent="0.55000000000000004">
      <c r="A882" s="8">
        <f t="shared" si="21"/>
        <v>4.3900000000000744E-2</v>
      </c>
      <c r="B882" s="8" cm="1">
        <f t="array" ref="B882">FAM(A882)</f>
        <v>-0.4310273478039654</v>
      </c>
      <c r="C882" s="14">
        <v>-1.51509874380645E-15</v>
      </c>
      <c r="D882" s="14">
        <v>-0.43102734780396534</v>
      </c>
    </row>
    <row r="883" spans="1:4" x14ac:dyDescent="0.55000000000000004">
      <c r="A883" s="8">
        <f t="shared" si="21"/>
        <v>4.3950000000000745E-2</v>
      </c>
      <c r="B883" s="8" cm="1">
        <f t="array" ref="B883">FAM(A883)</f>
        <v>-0.30325319308951748</v>
      </c>
      <c r="C883" s="14">
        <v>-6.4780358603012248E-15</v>
      </c>
      <c r="D883" s="14">
        <v>-0.30325319308951759</v>
      </c>
    </row>
    <row r="884" spans="1:4" x14ac:dyDescent="0.55000000000000004">
      <c r="A884" s="8">
        <f t="shared" si="21"/>
        <v>4.4000000000000747E-2</v>
      </c>
      <c r="B884" s="8" cm="1">
        <f t="array" ref="B884">FAM(A884)</f>
        <v>4.7193130991981883E-12</v>
      </c>
      <c r="C884" s="14">
        <v>-1.5509362649556455E-15</v>
      </c>
      <c r="D884" s="14">
        <v>4.7193107225267813E-12</v>
      </c>
    </row>
    <row r="885" spans="1:4" x14ac:dyDescent="0.55000000000000004">
      <c r="A885" s="8">
        <f t="shared" si="21"/>
        <v>4.4050000000000748E-2</v>
      </c>
      <c r="B885" s="8" cm="1">
        <f t="array" ref="B885">FAM(A885)</f>
        <v>0.30155373257900908</v>
      </c>
      <c r="C885" s="14">
        <v>-6.6274077235477242E-15</v>
      </c>
      <c r="D885" s="14">
        <v>0.30155373257900936</v>
      </c>
    </row>
    <row r="886" spans="1:4" x14ac:dyDescent="0.55000000000000004">
      <c r="A886" s="8">
        <f t="shared" si="21"/>
        <v>4.410000000000075E-2</v>
      </c>
      <c r="B886" s="8" cm="1">
        <f t="array" ref="B886">FAM(A886)</f>
        <v>0.42619994850259607</v>
      </c>
      <c r="C886" s="14">
        <v>-1.6085449459114779E-15</v>
      </c>
      <c r="D886" s="14">
        <v>0.42619994850259624</v>
      </c>
    </row>
    <row r="887" spans="1:4" x14ac:dyDescent="0.55000000000000004">
      <c r="A887" s="8">
        <f t="shared" si="21"/>
        <v>4.4150000000000751E-2</v>
      </c>
      <c r="B887" s="8" cm="1">
        <f t="array" ref="B887">FAM(A887)</f>
        <v>0.30161423881470367</v>
      </c>
      <c r="C887" s="14">
        <v>-6.5635649690583371E-15</v>
      </c>
      <c r="D887" s="14">
        <v>0.30161423881470384</v>
      </c>
    </row>
    <row r="888" spans="1:4" x14ac:dyDescent="0.55000000000000004">
      <c r="A888" s="8">
        <f t="shared" si="21"/>
        <v>4.4200000000000753E-2</v>
      </c>
      <c r="B888" s="8" cm="1">
        <f t="array" ref="B888">FAM(A888)</f>
        <v>-4.7648434509438188E-12</v>
      </c>
      <c r="C888" s="14">
        <v>-1.6597468996741077E-15</v>
      </c>
      <c r="D888" s="14">
        <v>-4.7648505933420461E-12</v>
      </c>
    </row>
    <row r="889" spans="1:4" x14ac:dyDescent="0.55000000000000004">
      <c r="A889" s="8">
        <f t="shared" si="21"/>
        <v>4.4250000000000754E-2</v>
      </c>
      <c r="B889" s="8" cm="1">
        <f t="array" ref="B889">FAM(A889)</f>
        <v>-0.30334506222514707</v>
      </c>
      <c r="C889" s="14">
        <v>-6.9755956925986648E-15</v>
      </c>
      <c r="D889" s="14">
        <v>-0.30334506222514707</v>
      </c>
    </row>
    <row r="890" spans="1:4" x14ac:dyDescent="0.55000000000000004">
      <c r="A890" s="8">
        <f t="shared" si="21"/>
        <v>4.4300000000000755E-2</v>
      </c>
      <c r="B890" s="8" cm="1">
        <f t="array" ref="B890">FAM(A890)</f>
        <v>-0.43105320975788963</v>
      </c>
      <c r="C890" s="14">
        <v>-1.3896704817963712E-15</v>
      </c>
      <c r="D890" s="14">
        <v>-0.43105320975788969</v>
      </c>
    </row>
    <row r="891" spans="1:4" x14ac:dyDescent="0.55000000000000004">
      <c r="A891" s="8">
        <f t="shared" si="21"/>
        <v>4.4350000000000757E-2</v>
      </c>
      <c r="B891" s="8" cm="1">
        <f t="array" ref="B891">FAM(A891)</f>
        <v>-0.30662685196584971</v>
      </c>
      <c r="C891" s="14">
        <v>-6.5207697312586052E-15</v>
      </c>
      <c r="D891" s="14">
        <v>-0.30662685196584977</v>
      </c>
    </row>
    <row r="892" spans="1:4" x14ac:dyDescent="0.55000000000000004">
      <c r="A892" s="8">
        <f t="shared" si="21"/>
        <v>4.4400000000000758E-2</v>
      </c>
      <c r="B892" s="8" cm="1">
        <f t="array" ref="B892">FAM(A892)</f>
        <v>4.912667591006277E-12</v>
      </c>
      <c r="C892" s="14">
        <v>-1.1717852585173471E-15</v>
      </c>
      <c r="D892" s="14">
        <v>4.9126737534825165E-12</v>
      </c>
    </row>
    <row r="893" spans="1:4" x14ac:dyDescent="0.55000000000000004">
      <c r="A893" s="8">
        <f t="shared" si="21"/>
        <v>4.445000000000076E-2</v>
      </c>
      <c r="B893" s="8" cm="1">
        <f t="array" ref="B893">FAM(A893)</f>
        <v>0.31131280155844243</v>
      </c>
      <c r="C893" s="14">
        <v>-6.5333531732433154E-15</v>
      </c>
      <c r="D893" s="14">
        <v>0.31131280155844254</v>
      </c>
    </row>
    <row r="894" spans="1:4" x14ac:dyDescent="0.55000000000000004">
      <c r="A894" s="8">
        <f t="shared" si="21"/>
        <v>4.4500000000000761E-2</v>
      </c>
      <c r="B894" s="8" cm="1">
        <f t="array" ref="B894">FAM(A894)</f>
        <v>0.44424634841655464</v>
      </c>
      <c r="C894" s="14">
        <v>-1.2460007853579095E-15</v>
      </c>
      <c r="D894" s="14">
        <v>0.4442463484165548</v>
      </c>
    </row>
    <row r="895" spans="1:4" x14ac:dyDescent="0.55000000000000004">
      <c r="A895" s="8">
        <f t="shared" si="21"/>
        <v>4.4550000000000763E-2</v>
      </c>
      <c r="B895" s="8" cm="1">
        <f t="array" ref="B895">FAM(A895)</f>
        <v>0.31723133912973944</v>
      </c>
      <c r="C895" s="14">
        <v>-6.7272553534716834E-15</v>
      </c>
      <c r="D895" s="14">
        <v>0.31723133912973961</v>
      </c>
    </row>
    <row r="896" spans="1:4" x14ac:dyDescent="0.55000000000000004">
      <c r="A896" s="8">
        <f t="shared" si="21"/>
        <v>4.4600000000000764E-2</v>
      </c>
      <c r="B896" s="8" cm="1">
        <f t="array" ref="B896">FAM(A896)</f>
        <v>-5.0953224559456845E-12</v>
      </c>
      <c r="C896" s="14">
        <v>-1.0241692158507766E-15</v>
      </c>
      <c r="D896" s="14">
        <v>-5.0953342926858036E-12</v>
      </c>
    </row>
    <row r="897" spans="1:4" x14ac:dyDescent="0.55000000000000004">
      <c r="A897" s="8">
        <f t="shared" si="21"/>
        <v>4.4650000000000765E-2</v>
      </c>
      <c r="B897" s="8" cm="1">
        <f t="array" ref="B897">FAM(A897)</f>
        <v>-0.32418921877840573</v>
      </c>
      <c r="C897" s="14">
        <v>-6.0612590737481751E-15</v>
      </c>
      <c r="D897" s="14">
        <v>-0.32418921877840567</v>
      </c>
    </row>
    <row r="898" spans="1:4" x14ac:dyDescent="0.55000000000000004">
      <c r="A898" s="8">
        <f t="shared" si="21"/>
        <v>4.4700000000000767E-2</v>
      </c>
      <c r="B898" s="8" cm="1">
        <f t="array" ref="B898">FAM(A898)</f>
        <v>-0.46385135238028913</v>
      </c>
      <c r="C898" s="14">
        <v>-8.7112658794665062E-16</v>
      </c>
      <c r="D898" s="14">
        <v>-0.46385135238028918</v>
      </c>
    </row>
    <row r="899" spans="1:4" x14ac:dyDescent="0.55000000000000004">
      <c r="A899" s="8">
        <f t="shared" si="21"/>
        <v>4.4750000000000768E-2</v>
      </c>
      <c r="B899" s="8" cm="1">
        <f t="array" ref="B899">FAM(A899)</f>
        <v>-0.33197496235292229</v>
      </c>
      <c r="C899" s="14">
        <v>-5.748731903004213E-15</v>
      </c>
      <c r="D899" s="14">
        <v>-0.33197496235292223</v>
      </c>
    </row>
    <row r="900" spans="1:4" x14ac:dyDescent="0.55000000000000004">
      <c r="A900" s="8">
        <f t="shared" si="21"/>
        <v>4.480000000000077E-2</v>
      </c>
      <c r="B900" s="8" cm="1">
        <f t="array" ref="B900">FAM(A900)</f>
        <v>5.390822070858792E-12</v>
      </c>
      <c r="C900" s="14">
        <v>-1.3467155543225741E-15</v>
      </c>
      <c r="D900" s="14">
        <v>5.3908334290302452E-12</v>
      </c>
    </row>
    <row r="901" spans="1:4" x14ac:dyDescent="0.55000000000000004">
      <c r="A901" s="8">
        <f t="shared" si="21"/>
        <v>4.4850000000000771E-2</v>
      </c>
      <c r="B901" s="8" cm="1">
        <f t="array" ref="B901">FAM(A901)</f>
        <v>0.34036259625769133</v>
      </c>
      <c r="C901" s="14">
        <v>-6.586092693247682E-15</v>
      </c>
      <c r="D901" s="14">
        <v>0.3403625962576915</v>
      </c>
    </row>
    <row r="902" spans="1:4" x14ac:dyDescent="0.55000000000000004">
      <c r="A902" s="8">
        <f t="shared" ref="A902:A965" si="22">A901+0.00005</f>
        <v>4.4900000000000773E-2</v>
      </c>
      <c r="B902" s="8" cm="1">
        <f t="array" ref="B902">FAM(A902)</f>
        <v>0.48749145719309206</v>
      </c>
      <c r="C902" s="14">
        <v>-2.140866243496704E-15</v>
      </c>
      <c r="D902" s="14">
        <v>0.487491457193092</v>
      </c>
    </row>
    <row r="903" spans="1:4" x14ac:dyDescent="0.55000000000000004">
      <c r="A903" s="8">
        <f t="shared" si="22"/>
        <v>4.4950000000000774E-2</v>
      </c>
      <c r="B903" s="8" cm="1">
        <f t="array" ref="B903">FAM(A903)</f>
        <v>0.34911562230792331</v>
      </c>
      <c r="C903" s="15">
        <v>-6.7317408311226712E-15</v>
      </c>
      <c r="D903" s="15">
        <v>0.34911562230792348</v>
      </c>
    </row>
    <row r="904" spans="1:4" x14ac:dyDescent="0.55000000000000004">
      <c r="A904" s="4">
        <f t="shared" si="22"/>
        <v>4.5000000000000775E-2</v>
      </c>
      <c r="B904" s="4" cm="1">
        <f t="array" ref="B904">FAM(A904)</f>
        <v>-5.722078957934047E-12</v>
      </c>
      <c r="C904" s="13">
        <v>-1.1761901377945915E-15</v>
      </c>
      <c r="D904" s="13">
        <v>-5.7220912513896095E-12</v>
      </c>
    </row>
    <row r="905" spans="1:4" x14ac:dyDescent="0.55000000000000004">
      <c r="A905" s="8">
        <f t="shared" si="22"/>
        <v>4.5050000000000777E-2</v>
      </c>
      <c r="B905" s="8" cm="1">
        <f t="array" ref="B905">FAM(A905)</f>
        <v>-0.35799115887887339</v>
      </c>
      <c r="C905" s="14">
        <v>-6.6444089492641872E-15</v>
      </c>
      <c r="D905" s="14">
        <v>-0.35799115887887339</v>
      </c>
    </row>
    <row r="906" spans="1:4" x14ac:dyDescent="0.55000000000000004">
      <c r="A906" s="8">
        <f t="shared" si="22"/>
        <v>4.5100000000000778E-2</v>
      </c>
      <c r="B906" s="8" cm="1">
        <f t="array" ref="B906">FAM(A906)</f>
        <v>-0.51250854280708902</v>
      </c>
      <c r="C906" s="14">
        <v>-1.3554007737309044E-15</v>
      </c>
      <c r="D906" s="14">
        <v>-0.51250854280708902</v>
      </c>
    </row>
    <row r="907" spans="1:4" x14ac:dyDescent="0.55000000000000004">
      <c r="A907" s="8">
        <f t="shared" si="22"/>
        <v>4.515000000000078E-2</v>
      </c>
      <c r="B907" s="8" cm="1">
        <f t="array" ref="B907">FAM(A907)</f>
        <v>-0.36674418492866567</v>
      </c>
      <c r="C907" s="14">
        <v>-6.579509370555734E-15</v>
      </c>
      <c r="D907" s="14">
        <v>-0.36674418492866562</v>
      </c>
    </row>
    <row r="908" spans="1:4" x14ac:dyDescent="0.55000000000000004">
      <c r="A908" s="8">
        <f t="shared" si="22"/>
        <v>4.5200000000000781E-2</v>
      </c>
      <c r="B908" s="8" cm="1">
        <f t="array" ref="B908">FAM(A908)</f>
        <v>6.0584135123751145E-12</v>
      </c>
      <c r="C908" s="14">
        <v>-1.1801916343613264E-15</v>
      </c>
      <c r="D908" s="14">
        <v>6.058425563351996E-12</v>
      </c>
    </row>
    <row r="909" spans="1:4" x14ac:dyDescent="0.55000000000000004">
      <c r="A909" s="8">
        <f t="shared" si="22"/>
        <v>4.5250000000000783E-2</v>
      </c>
      <c r="B909" s="8" cm="1">
        <f t="array" ref="B909">FAM(A909)</f>
        <v>0.37513181883428814</v>
      </c>
      <c r="C909" s="14">
        <v>-6.5335920309364767E-15</v>
      </c>
      <c r="D909" s="14">
        <v>0.37513181883428831</v>
      </c>
    </row>
    <row r="910" spans="1:4" x14ac:dyDescent="0.55000000000000004">
      <c r="A910" s="8">
        <f t="shared" si="22"/>
        <v>4.5300000000000784E-2</v>
      </c>
      <c r="B910" s="8" cm="1">
        <f t="array" ref="B910">FAM(A910)</f>
        <v>0.53614864761987191</v>
      </c>
      <c r="C910" s="14">
        <v>-1.0894368386072743E-15</v>
      </c>
      <c r="D910" s="14">
        <v>0.5361486476198718</v>
      </c>
    </row>
    <row r="911" spans="1:4" x14ac:dyDescent="0.55000000000000004">
      <c r="A911" s="8">
        <f t="shared" si="22"/>
        <v>4.5350000000000786E-2</v>
      </c>
      <c r="B911" s="8" cm="1">
        <f t="array" ref="B911">FAM(A911)</f>
        <v>0.38291756240749075</v>
      </c>
      <c r="C911" s="14">
        <v>-6.2124653119407862E-15</v>
      </c>
      <c r="D911" s="14">
        <v>0.38291756240749086</v>
      </c>
    </row>
    <row r="912" spans="1:4" x14ac:dyDescent="0.55000000000000004">
      <c r="A912" s="8">
        <f t="shared" si="22"/>
        <v>4.5400000000000787E-2</v>
      </c>
      <c r="B912" s="8" cm="1">
        <f t="array" ref="B912">FAM(A912)</f>
        <v>-6.3680224328264117E-12</v>
      </c>
      <c r="C912" s="14">
        <v>-1.2680894046049146E-15</v>
      </c>
      <c r="D912" s="14">
        <v>-6.3680305523415563E-12</v>
      </c>
    </row>
    <row r="913" spans="1:4" x14ac:dyDescent="0.55000000000000004">
      <c r="A913" s="8">
        <f t="shared" si="22"/>
        <v>4.5450000000000788E-2</v>
      </c>
      <c r="B913" s="8" cm="1">
        <f t="array" ref="B913">FAM(A913)</f>
        <v>-0.38987544205785718</v>
      </c>
      <c r="C913" s="14">
        <v>-6.7064085154505204E-15</v>
      </c>
      <c r="D913" s="14">
        <v>-0.38987544205785735</v>
      </c>
    </row>
    <row r="914" spans="1:4" x14ac:dyDescent="0.55000000000000004">
      <c r="A914" s="8">
        <f t="shared" si="22"/>
        <v>4.550000000000079E-2</v>
      </c>
      <c r="B914" s="8" cm="1">
        <f t="array" ref="B914">FAM(A914)</f>
        <v>-0.55575365158356727</v>
      </c>
      <c r="C914" s="14">
        <v>-1.2967656911047912E-15</v>
      </c>
      <c r="D914" s="14">
        <v>-0.55575365158356715</v>
      </c>
    </row>
    <row r="915" spans="1:4" x14ac:dyDescent="0.55000000000000004">
      <c r="A915" s="8">
        <f t="shared" si="22"/>
        <v>4.5550000000000791E-2</v>
      </c>
      <c r="B915" s="8" cm="1">
        <f t="array" ref="B915">FAM(A915)</f>
        <v>-0.39579397962705631</v>
      </c>
      <c r="C915" s="14">
        <v>-6.597235765267019E-15</v>
      </c>
      <c r="D915" s="14">
        <v>-0.39579397962705637</v>
      </c>
    </row>
    <row r="916" spans="1:4" x14ac:dyDescent="0.55000000000000004">
      <c r="A916" s="8">
        <f t="shared" si="22"/>
        <v>4.5600000000000793E-2</v>
      </c>
      <c r="B916" s="8" cm="1">
        <f t="array" ref="B916">FAM(A916)</f>
        <v>6.6202133510402314E-12</v>
      </c>
      <c r="C916" s="14">
        <v>-1.1702911751657128E-15</v>
      </c>
      <c r="D916" s="14">
        <v>6.620221652829469E-12</v>
      </c>
    </row>
    <row r="917" spans="1:4" x14ac:dyDescent="0.55000000000000004">
      <c r="A917" s="8">
        <f t="shared" si="22"/>
        <v>4.5650000000000794E-2</v>
      </c>
      <c r="B917" s="8" cm="1">
        <f t="array" ref="B917">FAM(A917)</f>
        <v>0.4004799292220268</v>
      </c>
      <c r="C917" s="14">
        <v>-6.6411526666893241E-15</v>
      </c>
      <c r="D917" s="14">
        <v>0.40047992922202696</v>
      </c>
    </row>
    <row r="918" spans="1:4" x14ac:dyDescent="0.55000000000000004">
      <c r="A918" s="8">
        <f t="shared" si="22"/>
        <v>4.5700000000000796E-2</v>
      </c>
      <c r="B918" s="8" cm="1">
        <f t="array" ref="B918">FAM(A918)</f>
        <v>0.56894679024217798</v>
      </c>
      <c r="C918" s="14">
        <v>-8.0973014855681696E-16</v>
      </c>
      <c r="D918" s="14">
        <v>0.56894679024217787</v>
      </c>
    </row>
    <row r="919" spans="1:4" x14ac:dyDescent="0.55000000000000004">
      <c r="A919" s="8">
        <f t="shared" si="22"/>
        <v>4.5750000000000797E-2</v>
      </c>
      <c r="B919" s="8" cm="1">
        <f t="array" ref="B919">FAM(A919)</f>
        <v>0.40376171896005536</v>
      </c>
      <c r="C919" s="14">
        <v>-6.5082618696686747E-15</v>
      </c>
      <c r="D919" s="14">
        <v>0.40376171896005542</v>
      </c>
    </row>
    <row r="920" spans="1:4" x14ac:dyDescent="0.55000000000000004">
      <c r="A920" s="8">
        <f t="shared" si="22"/>
        <v>4.5800000000000798E-2</v>
      </c>
      <c r="B920" s="8" cm="1">
        <f t="array" ref="B920">FAM(A920)</f>
        <v>-6.7876117398212035E-12</v>
      </c>
      <c r="C920" s="14">
        <v>-9.2991843797561116E-16</v>
      </c>
      <c r="D920" s="14">
        <v>-6.7876119071420958E-12</v>
      </c>
    </row>
    <row r="921" spans="1:4" x14ac:dyDescent="0.55000000000000004">
      <c r="A921" s="8">
        <f t="shared" si="22"/>
        <v>4.58500000000008E-2</v>
      </c>
      <c r="B921" s="8" cm="1">
        <f t="array" ref="B921">FAM(A921)</f>
        <v>-0.40549254237331506</v>
      </c>
      <c r="C921" s="14">
        <v>-6.3160717346646605E-15</v>
      </c>
      <c r="D921" s="14">
        <v>-0.40549254237331511</v>
      </c>
    </row>
    <row r="922" spans="1:4" x14ac:dyDescent="0.55000000000000004">
      <c r="A922" s="8">
        <f t="shared" si="22"/>
        <v>4.5900000000000801E-2</v>
      </c>
      <c r="B922" s="8" cm="1">
        <f t="array" ref="B922">FAM(A922)</f>
        <v>-0.57380005149740532</v>
      </c>
      <c r="C922" s="14">
        <v>-9.6675400079976577E-16</v>
      </c>
      <c r="D922" s="14">
        <v>-0.57380005149740521</v>
      </c>
    </row>
    <row r="923" spans="1:4" x14ac:dyDescent="0.55000000000000004">
      <c r="A923" s="8">
        <f t="shared" si="22"/>
        <v>4.5950000000000803E-2</v>
      </c>
      <c r="B923" s="8" cm="1">
        <f t="array" ref="B923">FAM(A923)</f>
        <v>-0.40555304860603109</v>
      </c>
      <c r="C923" s="14">
        <v>-6.5125003773379565E-15</v>
      </c>
      <c r="D923" s="14">
        <v>-0.40555304860603103</v>
      </c>
    </row>
    <row r="924" spans="1:4" x14ac:dyDescent="0.55000000000000004">
      <c r="A924" s="8">
        <f t="shared" si="22"/>
        <v>4.6000000000000804E-2</v>
      </c>
      <c r="B924" s="8" cm="1">
        <f t="array" ref="B924">FAM(A924)</f>
        <v>6.7830909061202104E-12</v>
      </c>
      <c r="C924" s="14">
        <v>-1.1345799890138491E-15</v>
      </c>
      <c r="D924" s="14">
        <v>6.7830922682990038E-12</v>
      </c>
    </row>
    <row r="925" spans="1:4" x14ac:dyDescent="0.55000000000000004">
      <c r="A925" s="8">
        <f t="shared" si="22"/>
        <v>4.6050000000000806E-2</v>
      </c>
      <c r="B925" s="8" cm="1">
        <f t="array" ref="B925">FAM(A925)</f>
        <v>0.40385358809848515</v>
      </c>
      <c r="C925" s="14">
        <v>-6.590004730905868E-15</v>
      </c>
      <c r="D925" s="14">
        <v>0.40385358809848532</v>
      </c>
    </row>
    <row r="926" spans="1:4" x14ac:dyDescent="0.55000000000000004">
      <c r="A926" s="8">
        <f t="shared" si="22"/>
        <v>4.6100000000000807E-2</v>
      </c>
      <c r="B926" s="8" cm="1">
        <f t="array" ref="B926">FAM(A926)</f>
        <v>0.56897265219596194</v>
      </c>
      <c r="C926" s="14">
        <v>-1.0787363809750519E-15</v>
      </c>
      <c r="D926" s="14">
        <v>0.56897265219596205</v>
      </c>
    </row>
    <row r="927" spans="1:4" x14ac:dyDescent="0.55000000000000004">
      <c r="A927" s="8">
        <f t="shared" si="22"/>
        <v>4.6150000000000808E-2</v>
      </c>
      <c r="B927" s="8" cm="1">
        <f t="array" ref="B927">FAM(A927)</f>
        <v>0.4003359763014151</v>
      </c>
      <c r="C927" s="14">
        <v>-6.7072605750704799E-15</v>
      </c>
      <c r="D927" s="14">
        <v>0.4003359763014151</v>
      </c>
    </row>
    <row r="928" spans="1:4" x14ac:dyDescent="0.55000000000000004">
      <c r="A928" s="8">
        <f t="shared" si="22"/>
        <v>4.620000000000081E-2</v>
      </c>
      <c r="B928" s="8" cm="1">
        <f t="array" ref="B928">FAM(A928)</f>
        <v>-6.7230394024654834E-12</v>
      </c>
      <c r="C928" s="14">
        <v>-9.6041308217912017E-16</v>
      </c>
      <c r="D928" s="14">
        <v>-6.7230297376199518E-12</v>
      </c>
    </row>
    <row r="929" spans="1:4" x14ac:dyDescent="0.55000000000000004">
      <c r="A929" s="8">
        <f t="shared" si="22"/>
        <v>4.6250000000000811E-2</v>
      </c>
      <c r="B929" s="8" cm="1">
        <f t="array" ref="B929">FAM(A929)</f>
        <v>-0.39497474683528705</v>
      </c>
      <c r="C929" s="14">
        <v>-6.3475857447147978E-15</v>
      </c>
      <c r="D929" s="14">
        <v>-0.39497474683528727</v>
      </c>
    </row>
    <row r="930" spans="1:4" x14ac:dyDescent="0.55000000000000004">
      <c r="A930" s="8">
        <f t="shared" si="22"/>
        <v>4.6300000000000813E-2</v>
      </c>
      <c r="B930" s="8" cm="1">
        <f t="array" ref="B930">FAM(A930)</f>
        <v>-0.55381162020129404</v>
      </c>
      <c r="C930" s="14">
        <v>-8.0860613333096975E-16</v>
      </c>
      <c r="D930" s="14">
        <v>-0.55381162020129426</v>
      </c>
    </row>
    <row r="931" spans="1:4" x14ac:dyDescent="0.55000000000000004">
      <c r="A931" s="8">
        <f t="shared" si="22"/>
        <v>4.6350000000000814E-2</v>
      </c>
      <c r="B931" s="8" cm="1">
        <f t="array" ref="B931">FAM(A931)</f>
        <v>-0.3877778723956346</v>
      </c>
      <c r="C931" s="14">
        <v>-6.4730090167800102E-15</v>
      </c>
      <c r="D931" s="14">
        <v>-0.38777787239563466</v>
      </c>
    </row>
    <row r="932" spans="1:4" x14ac:dyDescent="0.55000000000000004">
      <c r="A932" s="8">
        <f t="shared" si="22"/>
        <v>4.6400000000000816E-2</v>
      </c>
      <c r="B932" s="8" cm="1">
        <f t="array" ref="B932">FAM(A932)</f>
        <v>6.5358172168053009E-12</v>
      </c>
      <c r="C932" s="14">
        <v>-9.5338348507737294E-16</v>
      </c>
      <c r="D932" s="14">
        <v>6.5358105612103193E-12</v>
      </c>
    </row>
    <row r="933" spans="1:4" x14ac:dyDescent="0.55000000000000004">
      <c r="A933" s="8">
        <f t="shared" si="22"/>
        <v>4.6450000000000817E-2</v>
      </c>
      <c r="B933" s="8" cm="1">
        <f t="array" ref="B933">FAM(A933)</f>
        <v>0.3787869413853473</v>
      </c>
      <c r="C933" s="14">
        <v>-6.4636416354105942E-15</v>
      </c>
      <c r="D933" s="14">
        <v>0.37878694138534724</v>
      </c>
    </row>
    <row r="934" spans="1:4" x14ac:dyDescent="0.55000000000000004">
      <c r="A934" s="8">
        <f t="shared" si="22"/>
        <v>4.6500000000000818E-2</v>
      </c>
      <c r="B934" s="8" cm="1">
        <f t="array" ref="B934">FAM(A934)</f>
        <v>0.5284079043839246</v>
      </c>
      <c r="C934" s="14">
        <v>-9.2813725911885009E-16</v>
      </c>
      <c r="D934" s="14">
        <v>0.52840790438392449</v>
      </c>
    </row>
    <row r="935" spans="1:4" x14ac:dyDescent="0.55000000000000004">
      <c r="A935" s="8">
        <f t="shared" si="22"/>
        <v>4.655000000000082E-2</v>
      </c>
      <c r="B935" s="8" cm="1">
        <f t="array" ref="B935">FAM(A935)</f>
        <v>0.3680767856891764</v>
      </c>
      <c r="C935" s="14">
        <v>-6.4479567684639795E-15</v>
      </c>
      <c r="D935" s="14">
        <v>0.36807678568917634</v>
      </c>
    </row>
    <row r="936" spans="1:4" x14ac:dyDescent="0.55000000000000004">
      <c r="A936" s="8">
        <f t="shared" si="22"/>
        <v>4.6600000000000821E-2</v>
      </c>
      <c r="B936" s="8" cm="1">
        <f t="array" ref="B936">FAM(A936)</f>
        <v>-6.2239183682682384E-12</v>
      </c>
      <c r="C936" s="14">
        <v>-9.0560650829582218E-16</v>
      </c>
      <c r="D936" s="14">
        <v>-6.2238994701704683E-12</v>
      </c>
    </row>
    <row r="937" spans="1:4" x14ac:dyDescent="0.55000000000000004">
      <c r="A937" s="8">
        <f t="shared" si="22"/>
        <v>4.6650000000000823E-2</v>
      </c>
      <c r="B937" s="8" cm="1">
        <f t="array" ref="B937">FAM(A937)</f>
        <v>-0.35575456493975405</v>
      </c>
      <c r="C937" s="14">
        <v>-6.6498562579204722E-15</v>
      </c>
      <c r="D937" s="14">
        <v>-0.35575456493975399</v>
      </c>
    </row>
    <row r="938" spans="1:4" x14ac:dyDescent="0.55000000000000004">
      <c r="A938" s="8">
        <f t="shared" si="22"/>
        <v>4.6700000000000824E-2</v>
      </c>
      <c r="B938" s="8" cm="1">
        <f t="array" ref="B938">FAM(A938)</f>
        <v>-0.4936042490914791</v>
      </c>
      <c r="C938" s="14">
        <v>-9.8521151013519657E-16</v>
      </c>
      <c r="D938" s="14">
        <v>-0.49360424909147893</v>
      </c>
    </row>
    <row r="939" spans="1:4" x14ac:dyDescent="0.55000000000000004">
      <c r="A939" s="8">
        <f t="shared" si="22"/>
        <v>4.6750000000000826E-2</v>
      </c>
      <c r="B939" s="8" cm="1">
        <f t="array" ref="B939">FAM(A939)</f>
        <v>-0.34195832008552496</v>
      </c>
      <c r="C939" s="14">
        <v>-6.6203865245360805E-15</v>
      </c>
      <c r="D939" s="14">
        <v>-0.34195832008552474</v>
      </c>
    </row>
    <row r="940" spans="1:4" x14ac:dyDescent="0.55000000000000004">
      <c r="A940" s="8">
        <f t="shared" si="22"/>
        <v>4.6800000000000827E-2</v>
      </c>
      <c r="B940" s="8" cm="1">
        <f t="array" ref="B940">FAM(A940)</f>
        <v>5.7990667253651942E-12</v>
      </c>
      <c r="C940" s="14">
        <v>-5.5375934528189557E-16</v>
      </c>
      <c r="D940" s="14">
        <v>5.7990533993867554E-12</v>
      </c>
    </row>
    <row r="941" spans="1:4" x14ac:dyDescent="0.55000000000000004">
      <c r="A941" s="8">
        <f t="shared" si="22"/>
        <v>4.6850000000000828E-2</v>
      </c>
      <c r="B941" s="8" cm="1">
        <f t="array" ref="B941">FAM(A941)</f>
        <v>0.32685501868424</v>
      </c>
      <c r="C941" s="14">
        <v>-6.2219387602162667E-15</v>
      </c>
      <c r="D941" s="14">
        <v>0.32685501868424016</v>
      </c>
    </row>
    <row r="942" spans="1:4" x14ac:dyDescent="0.55000000000000004">
      <c r="A942" s="8">
        <f t="shared" si="22"/>
        <v>4.690000000000083E-2</v>
      </c>
      <c r="B942" s="8" cm="1">
        <f t="array" ref="B942">FAM(A942)</f>
        <v>0.45095412400790869</v>
      </c>
      <c r="C942" s="14">
        <v>-7.9905177650677128E-16</v>
      </c>
      <c r="D942" s="14">
        <v>0.45095412400790852</v>
      </c>
    </row>
    <row r="943" spans="1:4" x14ac:dyDescent="0.55000000000000004">
      <c r="A943" s="8">
        <f t="shared" si="22"/>
        <v>4.6950000000000831E-2</v>
      </c>
      <c r="B943" s="8" cm="1">
        <f t="array" ref="B943">FAM(A943)</f>
        <v>0.31063812131467688</v>
      </c>
      <c r="C943" s="14">
        <v>-6.5285066111687872E-15</v>
      </c>
      <c r="D943" s="14">
        <v>0.31063812131467688</v>
      </c>
    </row>
    <row r="944" spans="1:4" x14ac:dyDescent="0.55000000000000004">
      <c r="A944" s="8">
        <f t="shared" si="22"/>
        <v>4.7000000000000833E-2</v>
      </c>
      <c r="B944" s="8" cm="1">
        <f t="array" ref="B944">FAM(A944)</f>
        <v>-5.2817940350870436E-12</v>
      </c>
      <c r="C944" s="14">
        <v>-8.7922033486458113E-16</v>
      </c>
      <c r="D944" s="14">
        <v>-5.2817689459746437E-12</v>
      </c>
    </row>
    <row r="945" spans="1:4" x14ac:dyDescent="0.55000000000000004">
      <c r="A945" s="8">
        <f t="shared" si="22"/>
        <v>4.7050000000000834E-2</v>
      </c>
      <c r="B945" s="8" cm="1">
        <f t="array" ref="B945">FAM(A945)</f>
        <v>-0.29352470723641755</v>
      </c>
      <c r="C945" s="14">
        <v>-6.5272839018051614E-15</v>
      </c>
      <c r="D945" s="14">
        <v>-0.29352470723641766</v>
      </c>
    </row>
    <row r="946" spans="1:4" x14ac:dyDescent="0.55000000000000004">
      <c r="A946" s="8">
        <f t="shared" si="22"/>
        <v>4.7100000000000836E-2</v>
      </c>
      <c r="B946" s="8" cm="1">
        <f t="array" ref="B946">FAM(A946)</f>
        <v>-0.40263410259441834</v>
      </c>
      <c r="C946" s="14">
        <v>-1.0639143212695497E-15</v>
      </c>
      <c r="D946" s="14">
        <v>-0.40263410259441829</v>
      </c>
    </row>
    <row r="947" spans="1:4" x14ac:dyDescent="0.55000000000000004">
      <c r="A947" s="8">
        <f t="shared" si="22"/>
        <v>4.7150000000000837E-2</v>
      </c>
      <c r="B947" s="8" cm="1">
        <f t="array" ref="B947">FAM(A947)</f>
        <v>-0.27575220341251061</v>
      </c>
      <c r="C947" s="14">
        <v>-6.5433377482020392E-15</v>
      </c>
      <c r="D947" s="14">
        <v>-0.2757522034125105</v>
      </c>
    </row>
    <row r="948" spans="1:4" x14ac:dyDescent="0.55000000000000004">
      <c r="A948" s="8">
        <f t="shared" si="22"/>
        <v>4.7200000000000839E-2</v>
      </c>
      <c r="B948" s="8" cm="1">
        <f t="array" ref="B948">FAM(A948)</f>
        <v>4.7004267055996368E-12</v>
      </c>
      <c r="C948" s="14">
        <v>-9.100824406990161E-16</v>
      </c>
      <c r="D948" s="14">
        <v>4.7004101676498337E-12</v>
      </c>
    </row>
    <row r="949" spans="1:4" x14ac:dyDescent="0.55000000000000004">
      <c r="A949" s="8">
        <f t="shared" si="22"/>
        <v>4.725000000000084E-2</v>
      </c>
      <c r="B949" s="8" cm="1">
        <f t="array" ref="B949">FAM(A949)</f>
        <v>0.25757476837447107</v>
      </c>
      <c r="C949" s="14">
        <v>-6.8504470990858668E-15</v>
      </c>
      <c r="D949" s="14">
        <v>0.25757476837447113</v>
      </c>
    </row>
    <row r="950" spans="1:4" x14ac:dyDescent="0.55000000000000004">
      <c r="A950" s="8">
        <f t="shared" si="22"/>
        <v>4.7300000000000841E-2</v>
      </c>
      <c r="B950" s="8" cm="1">
        <f t="array" ref="B950">FAM(A950)</f>
        <v>0.35131503716986967</v>
      </c>
      <c r="C950" s="14">
        <v>-4.1555467424084421E-16</v>
      </c>
      <c r="D950" s="14">
        <v>0.35131503716986973</v>
      </c>
    </row>
    <row r="951" spans="1:4" x14ac:dyDescent="0.55000000000000004">
      <c r="A951" s="8">
        <f t="shared" si="22"/>
        <v>4.7350000000000843E-2</v>
      </c>
      <c r="B951" s="8" cm="1">
        <f t="array" ref="B951">FAM(A951)</f>
        <v>0.23925938697993671</v>
      </c>
      <c r="C951" s="14">
        <v>-6.3522418651417288E-15</v>
      </c>
      <c r="D951" s="14">
        <v>0.23925938697993665</v>
      </c>
    </row>
    <row r="952" spans="1:4" x14ac:dyDescent="0.55000000000000004">
      <c r="A952" s="8">
        <f t="shared" si="22"/>
        <v>4.7400000000000844E-2</v>
      </c>
      <c r="B952" s="8" cm="1">
        <f t="array" ref="B952">FAM(A952)</f>
        <v>-4.0525331460539503E-12</v>
      </c>
      <c r="C952" s="14">
        <v>-2.5222066523124073E-16</v>
      </c>
      <c r="D952" s="14">
        <v>-4.0525067014800775E-12</v>
      </c>
    </row>
    <row r="953" spans="1:4" x14ac:dyDescent="0.55000000000000004">
      <c r="A953" s="8">
        <f t="shared" si="22"/>
        <v>4.7450000000000846E-2</v>
      </c>
      <c r="B953" s="8" cm="1">
        <f t="array" ref="B953">FAM(A953)</f>
        <v>-0.22108173769157224</v>
      </c>
      <c r="C953" s="36">
        <v>-6.5025411981858534E-15</v>
      </c>
      <c r="D953" s="36">
        <v>-0.22108173769157227</v>
      </c>
    </row>
    <row r="954" spans="1:4" x14ac:dyDescent="0.55000000000000004">
      <c r="A954" s="4">
        <f t="shared" si="22"/>
        <v>4.7500000000000847E-2</v>
      </c>
      <c r="B954" s="4" cm="1">
        <f t="array" ref="B954">FAM(A954)</f>
        <v>-0.29999999999979937</v>
      </c>
      <c r="C954" s="13">
        <v>-8.1596172770588612E-16</v>
      </c>
      <c r="D954" s="13">
        <v>-0.29999999999979943</v>
      </c>
    </row>
    <row r="955" spans="1:4" x14ac:dyDescent="0.55000000000000004">
      <c r="A955" s="8">
        <f t="shared" si="22"/>
        <v>4.7550000000000849E-2</v>
      </c>
      <c r="B955" s="8" cm="1">
        <f t="array" ref="B955">FAM(A955)</f>
        <v>-0.20332189682488425</v>
      </c>
      <c r="C955" s="14">
        <v>-6.5098681777011841E-15</v>
      </c>
      <c r="D955" s="14">
        <v>-0.20332189682488425</v>
      </c>
    </row>
    <row r="956" spans="1:4" x14ac:dyDescent="0.55000000000000004">
      <c r="A956" s="8">
        <f t="shared" si="22"/>
        <v>4.760000000000085E-2</v>
      </c>
      <c r="B956" s="8" cm="1">
        <f t="array" ref="B956">FAM(A956)</f>
        <v>3.4566234383702395E-12</v>
      </c>
      <c r="C956" s="14">
        <v>-8.6104200167912862E-16</v>
      </c>
      <c r="D956" s="14">
        <v>3.4566083921550833E-12</v>
      </c>
    </row>
    <row r="957" spans="1:4" x14ac:dyDescent="0.55000000000000004">
      <c r="A957" s="8">
        <f t="shared" si="22"/>
        <v>4.7650000000000851E-2</v>
      </c>
      <c r="B957" s="8" cm="1">
        <f t="array" ref="B957">FAM(A957)</f>
        <v>0.18625994770080354</v>
      </c>
      <c r="C957" s="14">
        <v>-6.5687839937955091E-15</v>
      </c>
      <c r="D957" s="14">
        <v>0.18625994770080359</v>
      </c>
    </row>
    <row r="958" spans="1:4" x14ac:dyDescent="0.55000000000000004">
      <c r="A958" s="8">
        <f t="shared" si="22"/>
        <v>4.7700000000000853E-2</v>
      </c>
      <c r="B958" s="8" cm="1">
        <f t="array" ref="B958">FAM(A958)</f>
        <v>0.25183908230395069</v>
      </c>
      <c r="C958" s="14">
        <v>-3.486478913246784E-16</v>
      </c>
      <c r="D958" s="14">
        <v>0.25183908230395063</v>
      </c>
    </row>
    <row r="959" spans="1:4" x14ac:dyDescent="0.55000000000000004">
      <c r="A959" s="8">
        <f t="shared" si="22"/>
        <v>4.7750000000000854E-2</v>
      </c>
      <c r="B959" s="8" cm="1">
        <f t="array" ref="B959">FAM(A959)</f>
        <v>0.17017156347936543</v>
      </c>
      <c r="C959" s="14">
        <v>-6.7304842385990356E-15</v>
      </c>
      <c r="D959" s="14">
        <v>0.17017156347936538</v>
      </c>
    </row>
    <row r="960" spans="1:4" x14ac:dyDescent="0.55000000000000004">
      <c r="A960" s="8">
        <f t="shared" si="22"/>
        <v>4.7800000000000856E-2</v>
      </c>
      <c r="B960" s="8" cm="1">
        <f t="array" ref="B960">FAM(A960)</f>
        <v>-2.9101759643594428E-12</v>
      </c>
      <c r="C960" s="14">
        <v>-6.8669934614481271E-16</v>
      </c>
      <c r="D960" s="14">
        <v>-2.9101536830964626E-12</v>
      </c>
    </row>
    <row r="961" spans="1:4" x14ac:dyDescent="0.55000000000000004">
      <c r="A961" s="8">
        <f t="shared" si="22"/>
        <v>4.7850000000000857E-2</v>
      </c>
      <c r="B961" s="8" cm="1">
        <f t="array" ref="B961">FAM(A961)</f>
        <v>-0.15532363367614338</v>
      </c>
      <c r="C961" s="14">
        <v>-6.7549510584062127E-15</v>
      </c>
      <c r="D961" s="14">
        <v>-0.15532363367614346</v>
      </c>
    </row>
    <row r="962" spans="1:4" x14ac:dyDescent="0.55000000000000004">
      <c r="A962" s="8">
        <f t="shared" si="22"/>
        <v>4.7900000000000859E-2</v>
      </c>
      <c r="B962" s="8" cm="1">
        <f t="array" ref="B962">FAM(A962)</f>
        <v>-0.20993263295377815</v>
      </c>
      <c r="C962" s="14">
        <v>7.042315809691483E-17</v>
      </c>
      <c r="D962" s="14">
        <v>-0.20993263295377829</v>
      </c>
    </row>
    <row r="963" spans="1:4" x14ac:dyDescent="0.55000000000000004">
      <c r="A963" s="8">
        <f t="shared" si="22"/>
        <v>4.795000000000086E-2</v>
      </c>
      <c r="B963" s="8" cm="1">
        <f t="array" ref="B963">FAM(A963)</f>
        <v>-0.14197000312259409</v>
      </c>
      <c r="C963" s="14">
        <v>-6.0365705187218364E-15</v>
      </c>
      <c r="D963" s="14">
        <v>-0.14197000312259397</v>
      </c>
    </row>
    <row r="964" spans="1:4" x14ac:dyDescent="0.55000000000000004">
      <c r="A964" s="8">
        <f t="shared" si="22"/>
        <v>4.8000000000000861E-2</v>
      </c>
      <c r="B964" s="8" cm="1">
        <f t="array" ref="B964">FAM(A964)</f>
        <v>2.4529484163966567E-12</v>
      </c>
      <c r="C964" s="14">
        <v>-8.6216451666053854E-17</v>
      </c>
      <c r="D964" s="14">
        <v>2.4529396088003035E-12</v>
      </c>
    </row>
    <row r="965" spans="1:4" x14ac:dyDescent="0.55000000000000004">
      <c r="A965" s="8">
        <f t="shared" si="22"/>
        <v>4.8050000000000863E-2</v>
      </c>
      <c r="B965" s="8" cm="1">
        <f t="array" ref="B965">FAM(A965)</f>
        <v>0.13034739106328014</v>
      </c>
      <c r="C965" s="14">
        <v>-5.3466786171202283E-15</v>
      </c>
      <c r="D965" s="14">
        <v>0.13034739106328028</v>
      </c>
    </row>
    <row r="966" spans="1:4" x14ac:dyDescent="0.55000000000000004">
      <c r="A966" s="8">
        <f t="shared" ref="A966:A1003" si="23">A965+0.00005</f>
        <v>4.8100000000000864E-2</v>
      </c>
      <c r="B966" s="8" cm="1">
        <f t="array" ref="B966">FAM(A966)</f>
        <v>0.17713528163650002</v>
      </c>
      <c r="C966" s="14">
        <v>-4.7274320376521987E-16</v>
      </c>
      <c r="D966" s="14">
        <v>0.17713528163650016</v>
      </c>
    </row>
    <row r="967" spans="1:4" x14ac:dyDescent="0.55000000000000004">
      <c r="A967" s="8">
        <f t="shared" si="23"/>
        <v>4.8150000000000866E-2</v>
      </c>
      <c r="B967" s="8" cm="1">
        <f t="array" ref="B967">FAM(A967)</f>
        <v>0.12067155478998223</v>
      </c>
      <c r="C967" s="14">
        <v>-6.4165346334734123E-15</v>
      </c>
      <c r="D967" s="14">
        <v>0.12067155478998222</v>
      </c>
    </row>
    <row r="968" spans="1:4" x14ac:dyDescent="0.55000000000000004">
      <c r="A968" s="8">
        <f t="shared" si="23"/>
        <v>4.8200000000000867E-2</v>
      </c>
      <c r="B968" s="8" cm="1">
        <f t="array" ref="B968">FAM(A968)</f>
        <v>-2.1215663892980125E-12</v>
      </c>
      <c r="C968" s="14">
        <v>-1.5752881305853742E-15</v>
      </c>
      <c r="D968" s="14">
        <v>-2.1215531723622485E-12</v>
      </c>
    </row>
    <row r="969" spans="1:4" x14ac:dyDescent="0.55000000000000004">
      <c r="A969" s="8">
        <f t="shared" si="23"/>
        <v>4.8250000000000869E-2</v>
      </c>
      <c r="B969" s="8" cm="1">
        <f t="array" ref="B969">FAM(A969)</f>
        <v>-0.113133758964126</v>
      </c>
      <c r="C969" s="14">
        <v>-7.0462847439408183E-15</v>
      </c>
      <c r="D969" s="14">
        <v>-0.11313375896412602</v>
      </c>
    </row>
    <row r="970" spans="1:4" x14ac:dyDescent="0.55000000000000004">
      <c r="A970" s="8">
        <f t="shared" si="23"/>
        <v>4.830000000000087E-2</v>
      </c>
      <c r="B970" s="8" cm="1">
        <f t="array" ref="B970">FAM(A970)</f>
        <v>-0.15587307889076332</v>
      </c>
      <c r="C970" s="14">
        <v>-9.0183991935032186E-16</v>
      </c>
      <c r="D970" s="14">
        <v>-0.15587307889076341</v>
      </c>
    </row>
    <row r="971" spans="1:4" x14ac:dyDescent="0.55000000000000004">
      <c r="A971" s="8">
        <f t="shared" si="23"/>
        <v>4.8350000000000871E-2</v>
      </c>
      <c r="B971" s="8" cm="1">
        <f t="array" ref="B971">FAM(A971)</f>
        <v>-0.10789760659088451</v>
      </c>
      <c r="C971" s="14">
        <v>-6.7570831027089089E-15</v>
      </c>
      <c r="D971" s="14">
        <v>-0.10789760659088446</v>
      </c>
    </row>
    <row r="972" spans="1:4" x14ac:dyDescent="0.55000000000000004">
      <c r="A972" s="8">
        <f t="shared" si="23"/>
        <v>4.8400000000000873E-2</v>
      </c>
      <c r="B972" s="8" cm="1">
        <f t="array" ref="B972">FAM(A972)</f>
        <v>1.9471198709518207E-12</v>
      </c>
      <c r="C972" s="14">
        <v>-4.0524168282585226E-16</v>
      </c>
      <c r="D972" s="14">
        <v>1.9471208533382315E-12</v>
      </c>
    </row>
    <row r="973" spans="1:4" x14ac:dyDescent="0.55000000000000004">
      <c r="A973" s="8">
        <f t="shared" si="23"/>
        <v>4.8450000000000874E-2</v>
      </c>
      <c r="B973" s="8" cm="1">
        <f t="array" ref="B973">FAM(A973)</f>
        <v>0.10509628243130292</v>
      </c>
      <c r="C973" s="14">
        <v>-6.7758522561985537E-15</v>
      </c>
      <c r="D973" s="14">
        <v>0.10509628243130296</v>
      </c>
    </row>
    <row r="974" spans="1:4" x14ac:dyDescent="0.55000000000000004">
      <c r="A974" s="8">
        <f t="shared" si="23"/>
        <v>4.8500000000000876E-2</v>
      </c>
      <c r="B974" s="8" cm="1">
        <f t="array" ref="B974">FAM(A974)</f>
        <v>0.14798529786597664</v>
      </c>
      <c r="C974" s="14">
        <v>-6.6911876424003136E-16</v>
      </c>
      <c r="D974" s="14">
        <v>0.14798529786597664</v>
      </c>
    </row>
    <row r="975" spans="1:4" x14ac:dyDescent="0.55000000000000004">
      <c r="A975" s="8">
        <f t="shared" si="23"/>
        <v>4.8550000000000877E-2</v>
      </c>
      <c r="B975" s="8" cm="1">
        <f t="array" ref="B975">FAM(A975)</f>
        <v>0.10483025282861118</v>
      </c>
      <c r="C975" s="14">
        <v>-6.8057707310390205E-15</v>
      </c>
      <c r="D975" s="14">
        <v>0.10483025282861114</v>
      </c>
    </row>
    <row r="976" spans="1:4" x14ac:dyDescent="0.55000000000000004">
      <c r="A976" s="8">
        <f t="shared" si="23"/>
        <v>4.8600000000000879E-2</v>
      </c>
      <c r="B976" s="8" cm="1">
        <f t="array" ref="B976">FAM(A976)</f>
        <v>-1.9530444785533099E-12</v>
      </c>
      <c r="C976" s="14">
        <v>-3.1949886285085483E-16</v>
      </c>
      <c r="D976" s="14">
        <v>-1.953043435154894E-12</v>
      </c>
    </row>
    <row r="977" spans="1:4" x14ac:dyDescent="0.55000000000000004">
      <c r="A977" s="8">
        <f t="shared" si="23"/>
        <v>4.865000000000088E-2</v>
      </c>
      <c r="B977" s="8" cm="1">
        <f t="array" ref="B977">FAM(A977)</f>
        <v>-0.10716545919607601</v>
      </c>
      <c r="C977" s="14">
        <v>-6.647410230260405E-15</v>
      </c>
      <c r="D977" s="14">
        <v>-0.10716545919607597</v>
      </c>
    </row>
    <row r="978" spans="1:4" x14ac:dyDescent="0.55000000000000004">
      <c r="A978" s="8">
        <f t="shared" si="23"/>
        <v>4.8700000000000881E-2</v>
      </c>
      <c r="B978" s="8" cm="1">
        <f t="array" ref="B978">FAM(A978)</f>
        <v>-0.15460092883012172</v>
      </c>
      <c r="C978" s="14">
        <v>8.0020305275079272E-17</v>
      </c>
      <c r="D978" s="14">
        <v>-0.15460092883012169</v>
      </c>
    </row>
    <row r="979" spans="1:4" x14ac:dyDescent="0.55000000000000004">
      <c r="A979" s="8">
        <f t="shared" si="23"/>
        <v>4.8750000000000883E-2</v>
      </c>
      <c r="B979" s="8" cm="1">
        <f t="array" ref="B979">FAM(A979)</f>
        <v>-0.11213203435454887</v>
      </c>
      <c r="C979" s="14">
        <v>-6.3596600662895956E-15</v>
      </c>
      <c r="D979" s="14">
        <v>-0.11213203435454873</v>
      </c>
    </row>
    <row r="980" spans="1:4" x14ac:dyDescent="0.55000000000000004">
      <c r="A980" s="8">
        <f t="shared" si="23"/>
        <v>4.8800000000000884E-2</v>
      </c>
      <c r="B980" s="8" cm="1">
        <f t="array" ref="B980">FAM(A980)</f>
        <v>2.1348418045970999E-12</v>
      </c>
      <c r="C980" s="14">
        <v>-4.1945606321332983E-16</v>
      </c>
      <c r="D980" s="14">
        <v>2.1348539680119287E-12</v>
      </c>
    </row>
    <row r="981" spans="1:4" x14ac:dyDescent="0.55000000000000004">
      <c r="A981" s="8">
        <f t="shared" si="23"/>
        <v>4.8850000000000886E-2</v>
      </c>
      <c r="B981" s="8" cm="1">
        <f t="array" ref="B981">FAM(A981)</f>
        <v>0.11972356310215861</v>
      </c>
      <c r="C981" s="14">
        <v>-6.7282597043187778E-15</v>
      </c>
      <c r="D981" s="14">
        <v>0.11972356310215877</v>
      </c>
    </row>
    <row r="982" spans="1:4" x14ac:dyDescent="0.55000000000000004">
      <c r="A982" s="8">
        <f t="shared" si="23"/>
        <v>4.8900000000000887E-2</v>
      </c>
      <c r="B982" s="8" cm="1">
        <f t="array" ref="B982">FAM(A982)</f>
        <v>0.17605775190464454</v>
      </c>
      <c r="C982" s="14">
        <v>-3.6249968871573729E-16</v>
      </c>
      <c r="D982" s="14">
        <v>0.17605775190464459</v>
      </c>
    </row>
    <row r="983" spans="1:4" x14ac:dyDescent="0.55000000000000004">
      <c r="A983" s="8">
        <f t="shared" si="23"/>
        <v>4.8950000000000889E-2</v>
      </c>
      <c r="B983" s="8" cm="1">
        <f t="array" ref="B983">FAM(A983)</f>
        <v>0.12989689954120714</v>
      </c>
      <c r="C983" s="14">
        <v>-6.6335920700381306E-15</v>
      </c>
      <c r="D983" s="14">
        <v>0.12989689954120723</v>
      </c>
    </row>
    <row r="984" spans="1:4" x14ac:dyDescent="0.55000000000000004">
      <c r="A984" s="8">
        <f t="shared" si="23"/>
        <v>4.900000000000089E-2</v>
      </c>
      <c r="B984" s="8" cm="1">
        <f t="array" ref="B984">FAM(A984)</f>
        <v>-2.5300033803799963E-12</v>
      </c>
      <c r="C984" s="14">
        <v>-1.6270672668319403E-16</v>
      </c>
      <c r="D984" s="14">
        <v>-2.530015068829568E-12</v>
      </c>
    </row>
    <row r="985" spans="1:4" x14ac:dyDescent="0.55000000000000004">
      <c r="A985" s="8">
        <f t="shared" si="23"/>
        <v>4.9050000000000891E-2</v>
      </c>
      <c r="B985" s="8" cm="1">
        <f t="array" ref="B985">FAM(A985)</f>
        <v>-0.14257254534910649</v>
      </c>
      <c r="C985" s="14">
        <v>-6.5984134156170991E-15</v>
      </c>
      <c r="D985" s="14">
        <v>-0.14257254534910646</v>
      </c>
    </row>
    <row r="986" spans="1:4" x14ac:dyDescent="0.55000000000000004">
      <c r="A986" s="8">
        <f t="shared" si="23"/>
        <v>4.9100000000000893E-2</v>
      </c>
      <c r="B986" s="8" cm="1">
        <f t="array" ref="B986">FAM(A986)</f>
        <v>-0.21186923051117576</v>
      </c>
      <c r="C986" s="14">
        <v>-2.1108760832509943E-16</v>
      </c>
      <c r="D986" s="14">
        <v>-0.21186923051117595</v>
      </c>
    </row>
    <row r="987" spans="1:4" x14ac:dyDescent="0.55000000000000004">
      <c r="A987" s="8">
        <f t="shared" si="23"/>
        <v>4.9150000000000894E-2</v>
      </c>
      <c r="B987" s="8" cm="1">
        <f t="array" ref="B987">FAM(A987)</f>
        <v>-0.15763558402331967</v>
      </c>
      <c r="C987" s="14">
        <v>-6.5828150111076294E-15</v>
      </c>
      <c r="D987" s="14">
        <v>-0.15763558402331965</v>
      </c>
    </row>
    <row r="988" spans="1:4" x14ac:dyDescent="0.55000000000000004">
      <c r="A988" s="8">
        <f t="shared" si="23"/>
        <v>4.9200000000000896E-2</v>
      </c>
      <c r="B988" s="8" cm="1">
        <f t="array" ref="B988">FAM(A988)</f>
        <v>3.1142008494064962E-12</v>
      </c>
      <c r="C988" s="14">
        <v>-2.6878906063751281E-16</v>
      </c>
      <c r="D988" s="14">
        <v>3.1142229777760461E-12</v>
      </c>
    </row>
    <row r="989" spans="1:4" x14ac:dyDescent="0.55000000000000004">
      <c r="A989" s="8">
        <f t="shared" si="23"/>
        <v>4.9250000000000897E-2</v>
      </c>
      <c r="B989" s="8" cm="1">
        <f t="array" ref="B989">FAM(A989)</f>
        <v>0.17493715784020678</v>
      </c>
      <c r="C989" s="14">
        <v>-6.4519314731057529E-15</v>
      </c>
      <c r="D989" s="14">
        <v>0.17493715784020689</v>
      </c>
    </row>
    <row r="990" spans="1:4" x14ac:dyDescent="0.55000000000000004">
      <c r="A990" s="8">
        <f t="shared" si="23"/>
        <v>4.9300000000000899E-2</v>
      </c>
      <c r="B990" s="8" cm="1">
        <f t="array" ref="B990">FAM(A990)</f>
        <v>0.26074149313206046</v>
      </c>
      <c r="C990" s="14">
        <v>-8.9635378872454565E-17</v>
      </c>
      <c r="D990" s="14">
        <v>0.26074149313206052</v>
      </c>
    </row>
    <row r="991" spans="1:4" x14ac:dyDescent="0.55000000000000004">
      <c r="A991" s="8">
        <f t="shared" si="23"/>
        <v>4.93500000000009E-2</v>
      </c>
      <c r="B991" s="8" cm="1">
        <f t="array" ref="B991">FAM(A991)</f>
        <v>0.19429646532612141</v>
      </c>
      <c r="C991" s="14">
        <v>-6.5385399457463791E-15</v>
      </c>
      <c r="D991" s="14">
        <v>0.19429646532612144</v>
      </c>
    </row>
    <row r="992" spans="1:4" x14ac:dyDescent="0.55000000000000004">
      <c r="A992" s="8">
        <f t="shared" si="23"/>
        <v>4.9400000000000902E-2</v>
      </c>
      <c r="B992" s="8" cm="1">
        <f t="array" ref="B992">FAM(A992)</f>
        <v>-3.8692975764054933E-12</v>
      </c>
      <c r="C992" s="14">
        <v>-2.4391042007475431E-16</v>
      </c>
      <c r="D992" s="14">
        <v>-3.8693198471337047E-12</v>
      </c>
    </row>
    <row r="993" spans="1:4" x14ac:dyDescent="0.55000000000000004">
      <c r="A993" s="8">
        <f t="shared" si="23"/>
        <v>4.9450000000000903E-2</v>
      </c>
      <c r="B993" s="8" cm="1">
        <f t="array" ref="B993">FAM(A993)</f>
        <v>-0.21550324937778437</v>
      </c>
      <c r="C993" s="14">
        <v>-6.4548801659262967E-15</v>
      </c>
      <c r="D993" s="14">
        <v>-0.21550324937778437</v>
      </c>
    </row>
    <row r="994" spans="1:4" x14ac:dyDescent="0.55000000000000004">
      <c r="A994" s="8">
        <f t="shared" si="23"/>
        <v>4.9500000000000904E-2</v>
      </c>
      <c r="B994" s="8" cm="1">
        <f t="array" ref="B994">FAM(A994)</f>
        <v>-0.32063955066679184</v>
      </c>
      <c r="C994" s="14">
        <v>-2.033494921138839E-16</v>
      </c>
      <c r="D994" s="14">
        <v>-0.32063955066679184</v>
      </c>
    </row>
    <row r="995" spans="1:4" x14ac:dyDescent="0.55000000000000004">
      <c r="A995" s="8">
        <f t="shared" si="23"/>
        <v>4.9550000000000906E-2</v>
      </c>
      <c r="B995" s="8" cm="1">
        <f t="array" ref="B995">FAM(A995)</f>
        <v>-0.23832073794184974</v>
      </c>
      <c r="C995" s="14">
        <v>-6.4545123674967436E-15</v>
      </c>
      <c r="D995" s="14">
        <v>-0.23832073794184977</v>
      </c>
    </row>
    <row r="996" spans="1:4" x14ac:dyDescent="0.55000000000000004">
      <c r="A996" s="8">
        <f t="shared" si="23"/>
        <v>4.9600000000000907E-2</v>
      </c>
      <c r="B996" s="8" cm="1">
        <f t="array" ref="B996">FAM(A996)</f>
        <v>4.7671640727523463E-12</v>
      </c>
      <c r="C996" s="14">
        <v>-1.6912791439075334E-16</v>
      </c>
      <c r="D996" s="14">
        <v>4.7671925310636312E-12</v>
      </c>
    </row>
    <row r="997" spans="1:4" x14ac:dyDescent="0.55000000000000004">
      <c r="A997" s="8">
        <f t="shared" si="23"/>
        <v>4.9650000000000909E-2</v>
      </c>
      <c r="B997" s="8" cm="1">
        <f t="array" ref="B997">FAM(A997)</f>
        <v>0.26248899267381809</v>
      </c>
      <c r="C997" s="14">
        <v>-6.7808392214017365E-15</v>
      </c>
      <c r="D997" s="14">
        <v>0.26248899267381814</v>
      </c>
    </row>
    <row r="998" spans="1:4" x14ac:dyDescent="0.55000000000000004">
      <c r="A998" s="8">
        <f t="shared" si="23"/>
        <v>4.970000000000091E-2</v>
      </c>
      <c r="B998" s="8" cm="1">
        <f t="array" ref="B998">FAM(A998)</f>
        <v>0.38889882654622632</v>
      </c>
      <c r="C998" s="14">
        <v>-1.993948103238889E-16</v>
      </c>
      <c r="D998" s="14">
        <v>0.38889882654622632</v>
      </c>
    </row>
    <row r="999" spans="1:4" x14ac:dyDescent="0.55000000000000004">
      <c r="A999" s="8">
        <f t="shared" si="23"/>
        <v>4.9750000000000912E-2</v>
      </c>
      <c r="B999" s="8" cm="1">
        <f t="array" ref="B999">FAM(A999)</f>
        <v>0.28772861393648397</v>
      </c>
      <c r="C999" s="14">
        <v>-6.6253503377464849E-15</v>
      </c>
      <c r="D999" s="14">
        <v>0.28772861393648402</v>
      </c>
    </row>
    <row r="1000" spans="1:4" x14ac:dyDescent="0.55000000000000004">
      <c r="A1000" s="8">
        <f t="shared" si="23"/>
        <v>4.9800000000000913E-2</v>
      </c>
      <c r="B1000" s="8" cm="1">
        <f t="array" ref="B1000">FAM(A1000)</f>
        <v>-5.7711117691767861E-12</v>
      </c>
      <c r="C1000" s="14">
        <v>1.020773594014175E-16</v>
      </c>
      <c r="D1000" s="14">
        <v>-5.7711402498866445E-12</v>
      </c>
    </row>
    <row r="1001" spans="1:4" x14ac:dyDescent="0.55000000000000004">
      <c r="A1001" s="8">
        <f t="shared" si="23"/>
        <v>4.9850000000000914E-2</v>
      </c>
      <c r="B1001" s="8" cm="1">
        <f t="array" ref="B1001">FAM(A1001)</f>
        <v>-0.31374474565279586</v>
      </c>
      <c r="C1001" s="14">
        <v>-6.5002363587276233E-15</v>
      </c>
      <c r="D1001" s="14">
        <v>-0.31374474565279586</v>
      </c>
    </row>
    <row r="1002" spans="1:4" x14ac:dyDescent="0.55000000000000004">
      <c r="A1002" s="8">
        <f t="shared" si="23"/>
        <v>4.9900000000000916E-2</v>
      </c>
      <c r="B1002" s="8" cm="1">
        <f t="array" ref="B1002">FAM(A1002)</f>
        <v>-0.46237524938160018</v>
      </c>
      <c r="C1002" s="14">
        <v>4.1420115773613106E-17</v>
      </c>
      <c r="D1002" s="14">
        <v>-0.4623752493816003</v>
      </c>
    </row>
    <row r="1003" spans="1:4" x14ac:dyDescent="0.55000000000000004">
      <c r="A1003" s="12">
        <f t="shared" si="23"/>
        <v>4.9950000000000917E-2</v>
      </c>
      <c r="B1003" s="12" cm="1">
        <f t="array" ref="B1003">FAM(A1003)</f>
        <v>-0.34023131800892648</v>
      </c>
      <c r="C1003" s="15">
        <v>-3.3273029408030558E-15</v>
      </c>
      <c r="D1003" s="15">
        <v>-0.34023131800892648</v>
      </c>
    </row>
  </sheetData>
  <phoneticPr fontId="1"/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23F5E-058C-4A63-9AEA-4A90450408C0}">
  <sheetPr codeName="Sheet25"/>
  <dimension ref="A1:G22"/>
  <sheetViews>
    <sheetView workbookViewId="0"/>
  </sheetViews>
  <sheetFormatPr defaultRowHeight="18" x14ac:dyDescent="0.55000000000000004"/>
  <sheetData>
    <row r="1" spans="1:7" x14ac:dyDescent="0.55000000000000004">
      <c r="A1" t="s">
        <v>83</v>
      </c>
    </row>
    <row r="4" spans="1:7" x14ac:dyDescent="0.55000000000000004">
      <c r="A4" s="59" t="s">
        <v>32</v>
      </c>
      <c r="B4" s="60"/>
      <c r="C4" s="59" t="s">
        <v>33</v>
      </c>
      <c r="D4" s="60"/>
      <c r="E4" s="61"/>
      <c r="G4" t="s">
        <v>104</v>
      </c>
    </row>
    <row r="5" spans="1:7" x14ac:dyDescent="0.55000000000000004">
      <c r="A5" s="62" t="s">
        <v>102</v>
      </c>
      <c r="B5" s="62" t="s">
        <v>103</v>
      </c>
      <c r="C5" s="62" t="s">
        <v>102</v>
      </c>
      <c r="D5" s="62" t="s">
        <v>103</v>
      </c>
      <c r="E5" s="79" t="s">
        <v>6</v>
      </c>
    </row>
    <row r="6" spans="1:7" x14ac:dyDescent="0.55000000000000004">
      <c r="A6" s="71">
        <v>500</v>
      </c>
      <c r="B6" s="71">
        <v>1E-4</v>
      </c>
      <c r="C6" s="16"/>
      <c r="D6" s="16"/>
      <c r="E6" s="16"/>
    </row>
    <row r="8" spans="1:7" x14ac:dyDescent="0.55000000000000004">
      <c r="A8" s="62" t="s">
        <v>13</v>
      </c>
      <c r="B8" s="62" t="s">
        <v>14</v>
      </c>
      <c r="C8" s="62" t="s">
        <v>84</v>
      </c>
    </row>
    <row r="9" spans="1:7" x14ac:dyDescent="0.55000000000000004">
      <c r="A9" s="4">
        <v>77.599999999999994</v>
      </c>
      <c r="B9" s="4">
        <v>10.07</v>
      </c>
      <c r="C9" s="17">
        <f t="shared" ref="C9:C22" si="0">C$6*(1-EXP(-D$6*A9))</f>
        <v>0</v>
      </c>
    </row>
    <row r="10" spans="1:7" x14ac:dyDescent="0.55000000000000004">
      <c r="A10" s="8">
        <v>114.9</v>
      </c>
      <c r="B10" s="8">
        <v>14.73</v>
      </c>
      <c r="C10" s="18">
        <f t="shared" si="0"/>
        <v>0</v>
      </c>
    </row>
    <row r="11" spans="1:7" x14ac:dyDescent="0.55000000000000004">
      <c r="A11" s="8">
        <v>141.1</v>
      </c>
      <c r="B11" s="8">
        <v>17.940000000000001</v>
      </c>
      <c r="C11" s="18">
        <f t="shared" si="0"/>
        <v>0</v>
      </c>
    </row>
    <row r="12" spans="1:7" x14ac:dyDescent="0.55000000000000004">
      <c r="A12" s="8">
        <v>190.8</v>
      </c>
      <c r="B12" s="8">
        <v>23.93</v>
      </c>
      <c r="C12" s="18">
        <f t="shared" si="0"/>
        <v>0</v>
      </c>
    </row>
    <row r="13" spans="1:7" x14ac:dyDescent="0.55000000000000004">
      <c r="A13" s="8">
        <v>239.9</v>
      </c>
      <c r="B13" s="8">
        <v>29.61</v>
      </c>
      <c r="C13" s="18">
        <f t="shared" si="0"/>
        <v>0</v>
      </c>
    </row>
    <row r="14" spans="1:7" x14ac:dyDescent="0.55000000000000004">
      <c r="A14" s="8">
        <v>289</v>
      </c>
      <c r="B14" s="8">
        <v>35.18</v>
      </c>
      <c r="C14" s="18">
        <f t="shared" si="0"/>
        <v>0</v>
      </c>
    </row>
    <row r="15" spans="1:7" x14ac:dyDescent="0.55000000000000004">
      <c r="A15" s="8">
        <v>332.8</v>
      </c>
      <c r="B15" s="8">
        <v>40.020000000000003</v>
      </c>
      <c r="C15" s="18">
        <f t="shared" si="0"/>
        <v>0</v>
      </c>
    </row>
    <row r="16" spans="1:7" x14ac:dyDescent="0.55000000000000004">
      <c r="A16" s="8">
        <v>378.4</v>
      </c>
      <c r="B16" s="8">
        <v>44.82</v>
      </c>
      <c r="C16" s="18">
        <f t="shared" si="0"/>
        <v>0</v>
      </c>
    </row>
    <row r="17" spans="1:3" x14ac:dyDescent="0.55000000000000004">
      <c r="A17" s="8">
        <v>434.8</v>
      </c>
      <c r="B17" s="8">
        <v>50.76</v>
      </c>
      <c r="C17" s="18">
        <f t="shared" si="0"/>
        <v>0</v>
      </c>
    </row>
    <row r="18" spans="1:3" x14ac:dyDescent="0.55000000000000004">
      <c r="A18" s="8">
        <v>477.3</v>
      </c>
      <c r="B18" s="8">
        <v>55.05</v>
      </c>
      <c r="C18" s="18">
        <f t="shared" si="0"/>
        <v>0</v>
      </c>
    </row>
    <row r="19" spans="1:3" x14ac:dyDescent="0.55000000000000004">
      <c r="A19" s="8">
        <v>536.79999999999995</v>
      </c>
      <c r="B19" s="8">
        <v>61.01</v>
      </c>
      <c r="C19" s="18">
        <f t="shared" si="0"/>
        <v>0</v>
      </c>
    </row>
    <row r="20" spans="1:3" x14ac:dyDescent="0.55000000000000004">
      <c r="A20" s="8">
        <v>593.1</v>
      </c>
      <c r="B20" s="8">
        <v>66.400000000000006</v>
      </c>
      <c r="C20" s="18">
        <f t="shared" si="0"/>
        <v>0</v>
      </c>
    </row>
    <row r="21" spans="1:3" x14ac:dyDescent="0.55000000000000004">
      <c r="A21" s="8">
        <v>689.1</v>
      </c>
      <c r="B21" s="8">
        <v>75.47</v>
      </c>
      <c r="C21" s="18">
        <f t="shared" si="0"/>
        <v>0</v>
      </c>
    </row>
    <row r="22" spans="1:3" x14ac:dyDescent="0.55000000000000004">
      <c r="A22" s="12">
        <v>760</v>
      </c>
      <c r="B22" s="12">
        <v>81.78</v>
      </c>
      <c r="C22" s="19">
        <f t="shared" si="0"/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Ex14.Start">
                <anchor moveWithCells="1" sizeWithCells="1">
                  <from>
                    <xdr:col>2</xdr:col>
                    <xdr:colOff>0</xdr:colOff>
                    <xdr:row>1</xdr:row>
                    <xdr:rowOff>12700</xdr:rowOff>
                  </from>
                  <to>
                    <xdr:col>2</xdr:col>
                    <xdr:colOff>679450</xdr:colOff>
                    <xdr:row>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Ex14.Clear">
                <anchor moveWithCells="1" sizeWithCells="1">
                  <from>
                    <xdr:col>3</xdr:col>
                    <xdr:colOff>679450</xdr:colOff>
                    <xdr:row>1</xdr:row>
                    <xdr:rowOff>0</xdr:rowOff>
                  </from>
                  <to>
                    <xdr:col>5</xdr:col>
                    <xdr:colOff>0</xdr:colOff>
                    <xdr:row>2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2C585D-F611-4034-809D-EE8A4C74C144}">
  <sheetPr codeName="Sheet26"/>
  <dimension ref="A1:F34"/>
  <sheetViews>
    <sheetView workbookViewId="0"/>
  </sheetViews>
  <sheetFormatPr defaultRowHeight="18" x14ac:dyDescent="0.55000000000000004"/>
  <sheetData>
    <row r="1" spans="1:6" x14ac:dyDescent="0.55000000000000004">
      <c r="A1" t="s">
        <v>85</v>
      </c>
    </row>
    <row r="3" spans="1:6" x14ac:dyDescent="0.55000000000000004">
      <c r="A3" s="59" t="s">
        <v>32</v>
      </c>
      <c r="B3" s="60"/>
    </row>
    <row r="4" spans="1:6" x14ac:dyDescent="0.55000000000000004">
      <c r="A4" s="62" t="s">
        <v>87</v>
      </c>
      <c r="B4" s="62" t="s">
        <v>88</v>
      </c>
    </row>
    <row r="5" spans="1:6" x14ac:dyDescent="0.55000000000000004">
      <c r="A5" s="71">
        <v>500</v>
      </c>
      <c r="B5" s="71">
        <v>1E-4</v>
      </c>
    </row>
    <row r="7" spans="1:6" x14ac:dyDescent="0.55000000000000004">
      <c r="A7" s="65" t="s">
        <v>37</v>
      </c>
      <c r="B7" s="39">
        <v>2</v>
      </c>
      <c r="C7" s="66"/>
    </row>
    <row r="8" spans="1:6" x14ac:dyDescent="0.55000000000000004">
      <c r="A8" s="67" t="s">
        <v>86</v>
      </c>
      <c r="B8" s="80"/>
      <c r="C8" s="16"/>
      <c r="F8" t="s">
        <v>104</v>
      </c>
    </row>
    <row r="10" spans="1:6" x14ac:dyDescent="0.55000000000000004">
      <c r="A10" s="62" t="s">
        <v>13</v>
      </c>
      <c r="B10" s="62" t="s">
        <v>14</v>
      </c>
      <c r="C10" s="62" t="s">
        <v>84</v>
      </c>
      <c r="D10" s="62" t="s">
        <v>90</v>
      </c>
    </row>
    <row r="11" spans="1:6" x14ac:dyDescent="0.55000000000000004">
      <c r="A11" s="4">
        <v>77.599999999999994</v>
      </c>
      <c r="B11" s="4">
        <v>10.07</v>
      </c>
      <c r="C11" s="4">
        <f>B$8*(1-EXP(-C$8*A11))</f>
        <v>0</v>
      </c>
      <c r="D11" s="17">
        <f>B11-C11</f>
        <v>10.07</v>
      </c>
    </row>
    <row r="12" spans="1:6" x14ac:dyDescent="0.55000000000000004">
      <c r="A12" s="8">
        <v>114.9</v>
      </c>
      <c r="B12" s="8">
        <v>14.73</v>
      </c>
      <c r="C12" s="8">
        <f t="shared" ref="C12:C24" si="0">B$8*(1-EXP(-C$8*A12))</f>
        <v>0</v>
      </c>
      <c r="D12" s="18">
        <f t="shared" ref="D12:D24" si="1">B12-C12</f>
        <v>14.73</v>
      </c>
    </row>
    <row r="13" spans="1:6" x14ac:dyDescent="0.55000000000000004">
      <c r="A13" s="8">
        <v>141.1</v>
      </c>
      <c r="B13" s="8">
        <v>17.940000000000001</v>
      </c>
      <c r="C13" s="8">
        <f t="shared" si="0"/>
        <v>0</v>
      </c>
      <c r="D13" s="18">
        <f t="shared" si="1"/>
        <v>17.940000000000001</v>
      </c>
    </row>
    <row r="14" spans="1:6" x14ac:dyDescent="0.55000000000000004">
      <c r="A14" s="8">
        <v>190.8</v>
      </c>
      <c r="B14" s="8">
        <v>23.93</v>
      </c>
      <c r="C14" s="8">
        <f t="shared" si="0"/>
        <v>0</v>
      </c>
      <c r="D14" s="18">
        <f t="shared" si="1"/>
        <v>23.93</v>
      </c>
    </row>
    <row r="15" spans="1:6" x14ac:dyDescent="0.55000000000000004">
      <c r="A15" s="8">
        <v>239.9</v>
      </c>
      <c r="B15" s="8">
        <v>29.61</v>
      </c>
      <c r="C15" s="8">
        <f t="shared" si="0"/>
        <v>0</v>
      </c>
      <c r="D15" s="18">
        <f t="shared" si="1"/>
        <v>29.61</v>
      </c>
    </row>
    <row r="16" spans="1:6" x14ac:dyDescent="0.55000000000000004">
      <c r="A16" s="8">
        <v>289</v>
      </c>
      <c r="B16" s="8">
        <v>35.18</v>
      </c>
      <c r="C16" s="8">
        <f t="shared" si="0"/>
        <v>0</v>
      </c>
      <c r="D16" s="18">
        <f t="shared" si="1"/>
        <v>35.18</v>
      </c>
    </row>
    <row r="17" spans="1:4" x14ac:dyDescent="0.55000000000000004">
      <c r="A17" s="8">
        <v>332.8</v>
      </c>
      <c r="B17" s="8">
        <v>40.020000000000003</v>
      </c>
      <c r="C17" s="8">
        <f t="shared" si="0"/>
        <v>0</v>
      </c>
      <c r="D17" s="18">
        <f t="shared" si="1"/>
        <v>40.020000000000003</v>
      </c>
    </row>
    <row r="18" spans="1:4" x14ac:dyDescent="0.55000000000000004">
      <c r="A18" s="8">
        <v>378.4</v>
      </c>
      <c r="B18" s="8">
        <v>44.82</v>
      </c>
      <c r="C18" s="8">
        <f t="shared" si="0"/>
        <v>0</v>
      </c>
      <c r="D18" s="18">
        <f t="shared" si="1"/>
        <v>44.82</v>
      </c>
    </row>
    <row r="19" spans="1:4" x14ac:dyDescent="0.55000000000000004">
      <c r="A19" s="8">
        <v>434.8</v>
      </c>
      <c r="B19" s="8">
        <v>50.76</v>
      </c>
      <c r="C19" s="8">
        <f t="shared" si="0"/>
        <v>0</v>
      </c>
      <c r="D19" s="18">
        <f t="shared" si="1"/>
        <v>50.76</v>
      </c>
    </row>
    <row r="20" spans="1:4" x14ac:dyDescent="0.55000000000000004">
      <c r="A20" s="8">
        <v>477.3</v>
      </c>
      <c r="B20" s="8">
        <v>55.05</v>
      </c>
      <c r="C20" s="8">
        <f t="shared" si="0"/>
        <v>0</v>
      </c>
      <c r="D20" s="18">
        <f t="shared" si="1"/>
        <v>55.05</v>
      </c>
    </row>
    <row r="21" spans="1:4" x14ac:dyDescent="0.55000000000000004">
      <c r="A21" s="8">
        <v>536.79999999999995</v>
      </c>
      <c r="B21" s="8">
        <v>61.01</v>
      </c>
      <c r="C21" s="8">
        <f t="shared" si="0"/>
        <v>0</v>
      </c>
      <c r="D21" s="18">
        <f t="shared" si="1"/>
        <v>61.01</v>
      </c>
    </row>
    <row r="22" spans="1:4" x14ac:dyDescent="0.55000000000000004">
      <c r="A22" s="8">
        <v>593.1</v>
      </c>
      <c r="B22" s="8">
        <v>66.400000000000006</v>
      </c>
      <c r="C22" s="8">
        <f t="shared" si="0"/>
        <v>0</v>
      </c>
      <c r="D22" s="18">
        <f t="shared" si="1"/>
        <v>66.400000000000006</v>
      </c>
    </row>
    <row r="23" spans="1:4" x14ac:dyDescent="0.55000000000000004">
      <c r="A23" s="8">
        <v>689.1</v>
      </c>
      <c r="B23" s="8">
        <v>75.47</v>
      </c>
      <c r="C23" s="8">
        <f t="shared" si="0"/>
        <v>0</v>
      </c>
      <c r="D23" s="18">
        <f t="shared" si="1"/>
        <v>75.47</v>
      </c>
    </row>
    <row r="24" spans="1:4" x14ac:dyDescent="0.55000000000000004">
      <c r="A24" s="12">
        <v>760</v>
      </c>
      <c r="B24" s="12">
        <v>81.78</v>
      </c>
      <c r="C24" s="12">
        <f t="shared" si="0"/>
        <v>0</v>
      </c>
      <c r="D24" s="19">
        <f t="shared" si="1"/>
        <v>81.78</v>
      </c>
    </row>
    <row r="26" spans="1:4" x14ac:dyDescent="0.55000000000000004">
      <c r="A26" s="85">
        <v>14</v>
      </c>
    </row>
    <row r="27" spans="1:4" x14ac:dyDescent="0.55000000000000004">
      <c r="A27" s="86">
        <v>2</v>
      </c>
    </row>
    <row r="28" spans="1:4" x14ac:dyDescent="0.55000000000000004">
      <c r="A28" s="86" t="s">
        <v>40</v>
      </c>
    </row>
    <row r="29" spans="1:4" x14ac:dyDescent="0.55000000000000004">
      <c r="A29" s="86" t="s">
        <v>89</v>
      </c>
    </row>
    <row r="30" spans="1:4" x14ac:dyDescent="0.55000000000000004">
      <c r="A30" s="86" t="s">
        <v>42</v>
      </c>
    </row>
    <row r="31" spans="1:4" x14ac:dyDescent="0.55000000000000004">
      <c r="A31" s="86" t="s">
        <v>43</v>
      </c>
    </row>
    <row r="32" spans="1:4" x14ac:dyDescent="0.55000000000000004">
      <c r="A32" s="86" t="s">
        <v>42</v>
      </c>
    </row>
    <row r="33" spans="1:1" x14ac:dyDescent="0.55000000000000004">
      <c r="A33" s="86">
        <v>1E-8</v>
      </c>
    </row>
    <row r="34" spans="1:1" x14ac:dyDescent="0.55000000000000004">
      <c r="A34" s="87">
        <v>1</v>
      </c>
    </row>
  </sheetData>
  <phoneticPr fontId="1"/>
  <dataValidations count="1">
    <dataValidation type="whole" allowBlank="1" showInputMessage="1" showErrorMessage="1" sqref="B7" xr:uid="{9F999828-6319-4D5D-8DEB-DB3FBEA9BB30}">
      <formula1>1</formula1>
      <formula2>4</formula2>
    </dataValidation>
  </dataValidations>
  <pageMargins left="0.7" right="0.7" top="0.75" bottom="0.75" header="0.3" footer="0.3"/>
  <pageSetup paperSize="9" orientation="portrait" horizontalDpi="0" verticalDpi="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28704-06F9-4157-8C94-5170E3CDC5D8}">
  <sheetPr codeName="Sheet33"/>
  <dimension ref="A1:H11"/>
  <sheetViews>
    <sheetView workbookViewId="0"/>
  </sheetViews>
  <sheetFormatPr defaultRowHeight="18" x14ac:dyDescent="0.55000000000000004"/>
  <sheetData>
    <row r="1" spans="1:8" x14ac:dyDescent="0.55000000000000004">
      <c r="A1" t="s">
        <v>137</v>
      </c>
      <c r="B1" s="76"/>
      <c r="C1" s="76"/>
    </row>
    <row r="2" spans="1:8" x14ac:dyDescent="0.55000000000000004">
      <c r="B2" s="76"/>
      <c r="C2" s="76"/>
    </row>
    <row r="3" spans="1:8" x14ac:dyDescent="0.55000000000000004">
      <c r="B3" s="76"/>
      <c r="C3" s="76"/>
    </row>
    <row r="4" spans="1:8" x14ac:dyDescent="0.55000000000000004">
      <c r="A4" s="46"/>
      <c r="B4" s="28"/>
      <c r="C4" s="28"/>
      <c r="D4" s="28"/>
      <c r="E4" s="47"/>
      <c r="F4" s="46"/>
      <c r="G4" s="28"/>
      <c r="H4" s="47"/>
    </row>
    <row r="5" spans="1:8" x14ac:dyDescent="0.55000000000000004">
      <c r="A5" s="48"/>
      <c r="B5" s="31"/>
      <c r="C5" s="31"/>
      <c r="D5" s="31"/>
      <c r="E5" s="49"/>
      <c r="F5" s="48"/>
      <c r="G5" s="31"/>
      <c r="H5" s="49"/>
    </row>
    <row r="6" spans="1:8" x14ac:dyDescent="0.55000000000000004">
      <c r="A6" s="48"/>
      <c r="B6" s="31"/>
      <c r="C6" s="31"/>
      <c r="D6" s="31"/>
      <c r="E6" s="49"/>
      <c r="F6" s="48"/>
      <c r="G6" s="31"/>
      <c r="H6" s="49"/>
    </row>
    <row r="7" spans="1:8" x14ac:dyDescent="0.55000000000000004">
      <c r="A7" s="48"/>
      <c r="B7" s="31"/>
      <c r="C7" s="31"/>
      <c r="D7" s="31"/>
      <c r="E7" s="49"/>
      <c r="F7" s="48"/>
      <c r="G7" s="31"/>
      <c r="H7" s="49"/>
    </row>
    <row r="8" spans="1:8" x14ac:dyDescent="0.55000000000000004">
      <c r="A8" s="50"/>
      <c r="B8" s="34"/>
      <c r="C8" s="34"/>
      <c r="D8" s="34"/>
      <c r="E8" s="51"/>
      <c r="F8" s="50"/>
      <c r="G8" s="34"/>
      <c r="H8" s="51"/>
    </row>
    <row r="9" spans="1:8" x14ac:dyDescent="0.55000000000000004">
      <c r="A9" s="46"/>
      <c r="B9" s="28"/>
      <c r="C9" s="28"/>
      <c r="D9" s="28"/>
      <c r="E9" s="47"/>
      <c r="F9" s="46"/>
      <c r="G9" s="28"/>
      <c r="H9" s="47"/>
    </row>
    <row r="10" spans="1:8" x14ac:dyDescent="0.55000000000000004">
      <c r="A10" s="48"/>
      <c r="B10" s="31"/>
      <c r="C10" s="31"/>
      <c r="D10" s="31"/>
      <c r="E10" s="49"/>
      <c r="F10" s="48"/>
      <c r="G10" s="31"/>
      <c r="H10" s="49"/>
    </row>
    <row r="11" spans="1:8" x14ac:dyDescent="0.55000000000000004">
      <c r="A11" s="50"/>
      <c r="B11" s="34"/>
      <c r="C11" s="34"/>
      <c r="D11" s="34"/>
      <c r="E11" s="51"/>
      <c r="F11" s="50"/>
      <c r="G11" s="34"/>
      <c r="H11" s="51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3" name="Button 1">
              <controlPr defaultSize="0" print="0" autoFill="0" autoPict="0" macro="[0]!Ex16.Start">
                <anchor moveWithCells="1" sizeWithCells="1">
                  <from>
                    <xdr:col>2</xdr:col>
                    <xdr:colOff>12700</xdr:colOff>
                    <xdr:row>1</xdr:row>
                    <xdr:rowOff>12700</xdr:rowOff>
                  </from>
                  <to>
                    <xdr:col>2</xdr:col>
                    <xdr:colOff>685800</xdr:colOff>
                    <xdr:row>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4" name="Button 3">
              <controlPr defaultSize="0" print="0" autoFill="0" autoPict="0" macro="[0]!Ex16_FEM.Start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5" name="Button 5">
              <controlPr defaultSize="0" print="0" autoFill="0" autoPict="0" macro="[0]!Ex16.Clear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7</xdr:col>
                    <xdr:colOff>0</xdr:colOff>
                    <xdr:row>2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35</vt:i4>
      </vt:variant>
    </vt:vector>
  </HeadingPairs>
  <TitlesOfParts>
    <vt:vector size="35" baseType="lpstr">
      <vt:lpstr>Ex2</vt:lpstr>
      <vt:lpstr>Ex2W</vt:lpstr>
      <vt:lpstr>Ex2 (2)</vt:lpstr>
      <vt:lpstr>Ex2W (2)</vt:lpstr>
      <vt:lpstr>Ex3</vt:lpstr>
      <vt:lpstr>Ex3W</vt:lpstr>
      <vt:lpstr>Ex4</vt:lpstr>
      <vt:lpstr>Ex4W</vt:lpstr>
      <vt:lpstr>Ex5</vt:lpstr>
      <vt:lpstr>Ex5W</vt:lpstr>
      <vt:lpstr>Ex6</vt:lpstr>
      <vt:lpstr>Ex6W</vt:lpstr>
      <vt:lpstr>Ex7</vt:lpstr>
      <vt:lpstr>Ex7S</vt:lpstr>
      <vt:lpstr>Ex8</vt:lpstr>
      <vt:lpstr>Ex8S</vt:lpstr>
      <vt:lpstr>Ex8(2)</vt:lpstr>
      <vt:lpstr>Ex9</vt:lpstr>
      <vt:lpstr>Ex9S</vt:lpstr>
      <vt:lpstr>Ex10</vt:lpstr>
      <vt:lpstr>Ex10S</vt:lpstr>
      <vt:lpstr>Ex11</vt:lpstr>
      <vt:lpstr>Ex11S</vt:lpstr>
      <vt:lpstr>Ex11(2)</vt:lpstr>
      <vt:lpstr>Ex11W(2)</vt:lpstr>
      <vt:lpstr>Ex12</vt:lpstr>
      <vt:lpstr>Ex12S</vt:lpstr>
      <vt:lpstr>Ex12(2)</vt:lpstr>
      <vt:lpstr>Ex12S(2)</vt:lpstr>
      <vt:lpstr>Ex12(3)</vt:lpstr>
      <vt:lpstr>Ex12S(3)</vt:lpstr>
      <vt:lpstr>Ex13</vt:lpstr>
      <vt:lpstr>Ex14</vt:lpstr>
      <vt:lpstr>Ex14S</vt:lpstr>
      <vt:lpstr>Ex16</vt:lpstr>
    </vt:vector>
  </TitlesOfParts>
  <Company>K Technologies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XLPack tutorial samples</dc:title>
  <dc:creator>User</dc:creator>
  <cp:lastModifiedBy>User</cp:lastModifiedBy>
  <dcterms:created xsi:type="dcterms:W3CDTF">2022-10-02T08:45:55Z</dcterms:created>
  <dcterms:modified xsi:type="dcterms:W3CDTF">2025-03-17T01:29:53Z</dcterms:modified>
</cp:coreProperties>
</file>