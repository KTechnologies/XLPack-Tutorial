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\XLPack\HP\Tutorial\Examples\"/>
    </mc:Choice>
  </mc:AlternateContent>
  <xr:revisionPtr revIDLastSave="0" documentId="13_ncr:1_{F5355ECE-EDFB-429D-8A4E-757C58B4B435}" xr6:coauthVersionLast="47" xr6:coauthVersionMax="47" xr10:uidLastSave="{00000000-0000-0000-0000-000000000000}"/>
  <bookViews>
    <workbookView xWindow="16620" yWindow="360" windowWidth="21465" windowHeight="20235" xr2:uid="{1F8E3B89-BA0B-485E-9813-1F065F3EE21D}"/>
  </bookViews>
  <sheets>
    <sheet name="Ex2" sheetId="1" r:id="rId1"/>
    <sheet name="Ex2W" sheetId="2" r:id="rId2"/>
    <sheet name="Ex3" sheetId="3" r:id="rId3"/>
    <sheet name="Ex3W" sheetId="4" r:id="rId4"/>
    <sheet name="Ex4" sheetId="5" r:id="rId5"/>
    <sheet name="Ex4W" sheetId="6" r:id="rId6"/>
    <sheet name="Ex5" sheetId="7" r:id="rId7"/>
    <sheet name="Ex5W" sheetId="8" r:id="rId8"/>
    <sheet name="Ex6" sheetId="9" r:id="rId9"/>
    <sheet name="Ex6W" sheetId="10" r:id="rId10"/>
    <sheet name="Ex7" sheetId="11" r:id="rId11"/>
    <sheet name="Ex7S" sheetId="15" r:id="rId12"/>
    <sheet name="Ex8" sheetId="12" r:id="rId13"/>
    <sheet name="Ex8S" sheetId="14" r:id="rId14"/>
    <sheet name="Ex8(2)" sheetId="28" r:id="rId15"/>
    <sheet name="Ex9" sheetId="13" r:id="rId16"/>
    <sheet name="Ex9S" sheetId="16" r:id="rId17"/>
    <sheet name="Ex10" sheetId="17" r:id="rId18"/>
    <sheet name="Ex10S" sheetId="18" r:id="rId19"/>
    <sheet name="Ex11" sheetId="19" r:id="rId20"/>
    <sheet name="Ex11S" sheetId="20" r:id="rId21"/>
    <sheet name="Ex11(2)" sheetId="27" r:id="rId22"/>
    <sheet name="Ex11W(2)" sheetId="21" r:id="rId23"/>
    <sheet name="Ex12" sheetId="22" r:id="rId24"/>
    <sheet name="Ex12S" sheetId="23" r:id="rId25"/>
    <sheet name="Ex12(2)" sheetId="29" r:id="rId26"/>
    <sheet name="Ex12S(2)" sheetId="30" r:id="rId27"/>
    <sheet name="Ex13" sheetId="24" r:id="rId28"/>
    <sheet name="Ex14" sheetId="25" r:id="rId29"/>
    <sheet name="Ex14S" sheetId="26" r:id="rId3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2" l="1"/>
  <c r="B8" i="30"/>
  <c r="B7" i="30"/>
  <c r="D6" i="30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5" i="30"/>
  <c r="A7" i="29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6" i="29"/>
  <c r="D5" i="23"/>
  <c r="D6" i="23" s="1"/>
  <c r="D7" i="23" s="1"/>
  <c r="D8" i="23" s="1"/>
  <c r="D9" i="23" s="1"/>
  <c r="D10" i="23" s="1"/>
  <c r="D11" i="23" s="1"/>
  <c r="D12" i="23" s="1"/>
  <c r="D13" i="23" s="1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B9" i="18"/>
  <c r="E4" i="6" a="1"/>
  <c r="E5" i="6" l="1"/>
  <c r="E4" i="6"/>
  <c r="E7" i="6"/>
  <c r="E6" i="6"/>
  <c r="D24" i="22"/>
  <c r="F23" i="23"/>
  <c r="D23" i="22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D5" i="5"/>
  <c r="B13" i="27" l="1"/>
  <c r="B12" i="27"/>
  <c r="B11" i="27"/>
  <c r="B10" i="27"/>
  <c r="B9" i="27"/>
  <c r="B8" i="27"/>
  <c r="B7" i="27"/>
  <c r="B6" i="27"/>
  <c r="B5" i="27"/>
  <c r="C24" i="26"/>
  <c r="D24" i="26" s="1"/>
  <c r="C23" i="26"/>
  <c r="D23" i="26" s="1"/>
  <c r="C22" i="26"/>
  <c r="D22" i="26" s="1"/>
  <c r="C21" i="26"/>
  <c r="D21" i="26" s="1"/>
  <c r="C20" i="26"/>
  <c r="D20" i="26" s="1"/>
  <c r="C19" i="26"/>
  <c r="D19" i="26" s="1"/>
  <c r="C18" i="26"/>
  <c r="D18" i="26" s="1"/>
  <c r="C17" i="26"/>
  <c r="D17" i="26" s="1"/>
  <c r="C16" i="26"/>
  <c r="D16" i="26" s="1"/>
  <c r="C15" i="26"/>
  <c r="D15" i="26" s="1"/>
  <c r="C14" i="26"/>
  <c r="D14" i="26" s="1"/>
  <c r="C13" i="26"/>
  <c r="D13" i="26" s="1"/>
  <c r="C12" i="26"/>
  <c r="D12" i="26" s="1"/>
  <c r="C11" i="26"/>
  <c r="D11" i="26" s="1"/>
  <c r="C22" i="25" l="1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F5" i="24"/>
  <c r="B54" i="24"/>
  <c r="F6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F29" i="24"/>
  <c r="B29" i="24"/>
  <c r="F28" i="24"/>
  <c r="B28" i="24"/>
  <c r="F27" i="24"/>
  <c r="B27" i="24"/>
  <c r="F26" i="24"/>
  <c r="B26" i="24"/>
  <c r="F25" i="24"/>
  <c r="B25" i="24"/>
  <c r="F24" i="24"/>
  <c r="B24" i="24"/>
  <c r="F23" i="24"/>
  <c r="B23" i="24"/>
  <c r="F22" i="24"/>
  <c r="B22" i="24"/>
  <c r="F21" i="24"/>
  <c r="B21" i="24"/>
  <c r="F20" i="24"/>
  <c r="B20" i="24"/>
  <c r="F19" i="24"/>
  <c r="B19" i="24"/>
  <c r="F18" i="24"/>
  <c r="B18" i="24"/>
  <c r="F17" i="24"/>
  <c r="B17" i="24"/>
  <c r="F16" i="24"/>
  <c r="B16" i="24"/>
  <c r="F15" i="24"/>
  <c r="B15" i="24"/>
  <c r="F14" i="24"/>
  <c r="B14" i="24"/>
  <c r="F13" i="24"/>
  <c r="B13" i="24"/>
  <c r="F12" i="24"/>
  <c r="B12" i="24"/>
  <c r="F11" i="24"/>
  <c r="B11" i="24"/>
  <c r="F10" i="24"/>
  <c r="B10" i="24"/>
  <c r="F9" i="24"/>
  <c r="B9" i="24"/>
  <c r="F8" i="24"/>
  <c r="B8" i="24"/>
  <c r="F7" i="24"/>
  <c r="B7" i="24"/>
  <c r="B6" i="24"/>
  <c r="B5" i="24"/>
  <c r="B4" i="24"/>
  <c r="C4" i="24" a="1"/>
  <c r="C51" i="24" l="1"/>
  <c r="C39" i="24"/>
  <c r="C27" i="24"/>
  <c r="C15" i="24"/>
  <c r="C37" i="24"/>
  <c r="C13" i="24"/>
  <c r="C36" i="24"/>
  <c r="C12" i="24"/>
  <c r="C47" i="24"/>
  <c r="C23" i="24"/>
  <c r="C50" i="24"/>
  <c r="C38" i="24"/>
  <c r="C26" i="24"/>
  <c r="C14" i="24"/>
  <c r="C49" i="24"/>
  <c r="C25" i="24"/>
  <c r="C48" i="24"/>
  <c r="C24" i="24"/>
  <c r="C35" i="24"/>
  <c r="C11" i="24"/>
  <c r="C46" i="24"/>
  <c r="C34" i="24"/>
  <c r="C22" i="24"/>
  <c r="C10" i="24"/>
  <c r="C42" i="24"/>
  <c r="C30" i="24"/>
  <c r="C18" i="24"/>
  <c r="C6" i="24"/>
  <c r="C41" i="24"/>
  <c r="C17" i="24"/>
  <c r="C52" i="24"/>
  <c r="C28" i="24"/>
  <c r="C4" i="24"/>
  <c r="C45" i="24"/>
  <c r="C33" i="24"/>
  <c r="C21" i="24"/>
  <c r="C9" i="24"/>
  <c r="C44" i="24"/>
  <c r="C32" i="24"/>
  <c r="C20" i="24"/>
  <c r="C8" i="24"/>
  <c r="C43" i="24"/>
  <c r="C31" i="24"/>
  <c r="C19" i="24"/>
  <c r="C7" i="24"/>
  <c r="C53" i="24"/>
  <c r="C29" i="24"/>
  <c r="C5" i="24"/>
  <c r="C40" i="24"/>
  <c r="C16" i="24"/>
  <c r="G4" i="24" a="1"/>
  <c r="G15" i="24" l="1"/>
  <c r="G7" i="24"/>
  <c r="G13" i="24"/>
  <c r="G27" i="24"/>
  <c r="G19" i="24"/>
  <c r="G14" i="24"/>
  <c r="G4" i="24"/>
  <c r="G8" i="24"/>
  <c r="G16" i="24"/>
  <c r="G20" i="24"/>
  <c r="G28" i="24"/>
  <c r="G26" i="24"/>
  <c r="G5" i="24"/>
  <c r="G11" i="24"/>
  <c r="G6" i="24"/>
  <c r="G24" i="24"/>
  <c r="G21" i="24"/>
  <c r="G29" i="24"/>
  <c r="G25" i="24"/>
  <c r="G9" i="24"/>
  <c r="G10" i="24"/>
  <c r="G22" i="24"/>
  <c r="G17" i="24"/>
  <c r="G23" i="24"/>
  <c r="G12" i="24"/>
  <c r="G18" i="24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B6" i="23"/>
  <c r="F5" i="23"/>
  <c r="F4" i="23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B12" i="21" l="1"/>
  <c r="B11" i="21"/>
  <c r="B10" i="21"/>
  <c r="B9" i="21"/>
  <c r="B8" i="21"/>
  <c r="B7" i="21"/>
  <c r="B6" i="21"/>
  <c r="B5" i="21"/>
  <c r="B4" i="21"/>
  <c r="B4" i="20" l="1"/>
  <c r="C4" i="21" a="1"/>
  <c r="C12" i="21" l="1"/>
  <c r="C9" i="21"/>
  <c r="C8" i="21"/>
  <c r="C7" i="21"/>
  <c r="C6" i="21"/>
  <c r="C5" i="21"/>
  <c r="C4" i="21"/>
  <c r="C10" i="21"/>
  <c r="C11" i="21"/>
  <c r="B7" i="16" l="1"/>
  <c r="B13" i="13"/>
  <c r="B12" i="13"/>
  <c r="B11" i="13"/>
  <c r="B10" i="13"/>
  <c r="B9" i="13"/>
  <c r="B8" i="13"/>
  <c r="B7" i="13"/>
  <c r="B6" i="13"/>
  <c r="B5" i="13"/>
  <c r="B7" i="15" l="1"/>
  <c r="C9" i="14" l="1"/>
  <c r="B9" i="14"/>
  <c r="B13" i="11" l="1"/>
  <c r="B12" i="11"/>
  <c r="B11" i="11"/>
  <c r="B10" i="11"/>
  <c r="B9" i="11"/>
  <c r="B8" i="11"/>
  <c r="B7" i="11"/>
  <c r="B6" i="11"/>
  <c r="B5" i="11"/>
  <c r="B11" i="8" l="1"/>
  <c r="B10" i="8"/>
  <c r="B9" i="8"/>
  <c r="B8" i="8"/>
  <c r="B7" i="8"/>
  <c r="B6" i="8"/>
  <c r="B5" i="8"/>
  <c r="B4" i="8"/>
  <c r="B12" i="7"/>
  <c r="B11" i="7"/>
  <c r="B10" i="7"/>
  <c r="B9" i="7"/>
  <c r="B8" i="7"/>
  <c r="B7" i="7"/>
  <c r="B6" i="7"/>
  <c r="B5" i="7"/>
  <c r="B4" i="10" a="1"/>
  <c r="C4" i="8" a="1"/>
  <c r="D9" i="10" l="1"/>
  <c r="D5" i="10"/>
  <c r="C9" i="10"/>
  <c r="C5" i="10"/>
  <c r="B9" i="10"/>
  <c r="B5" i="10"/>
  <c r="D8" i="10"/>
  <c r="D4" i="10"/>
  <c r="C8" i="10"/>
  <c r="C4" i="10"/>
  <c r="B8" i="10"/>
  <c r="B4" i="10"/>
  <c r="D7" i="10"/>
  <c r="C7" i="10"/>
  <c r="D6" i="10"/>
  <c r="B6" i="10"/>
  <c r="B7" i="10"/>
  <c r="C6" i="10"/>
  <c r="C4" i="8"/>
  <c r="C11" i="8"/>
  <c r="C10" i="8"/>
  <c r="C9" i="8"/>
  <c r="C8" i="8"/>
  <c r="C7" i="8"/>
  <c r="C6" i="8"/>
  <c r="C5" i="8"/>
  <c r="D39" i="6"/>
  <c r="C39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D5" i="6"/>
  <c r="C5" i="6"/>
  <c r="D4" i="6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F39" i="6" l="1"/>
  <c r="F35" i="6"/>
  <c r="F31" i="6"/>
  <c r="F27" i="6"/>
  <c r="F23" i="6"/>
  <c r="F19" i="6"/>
  <c r="F15" i="6"/>
  <c r="F11" i="6"/>
  <c r="F7" i="6"/>
  <c r="F38" i="6"/>
  <c r="F34" i="6"/>
  <c r="F30" i="6"/>
  <c r="F26" i="6"/>
  <c r="F22" i="6"/>
  <c r="F18" i="6"/>
  <c r="F14" i="6"/>
  <c r="F10" i="6"/>
  <c r="F6" i="6"/>
  <c r="F33" i="6"/>
  <c r="F25" i="6"/>
  <c r="F21" i="6"/>
  <c r="F17" i="6"/>
  <c r="F9" i="6"/>
  <c r="F5" i="6"/>
  <c r="F28" i="6"/>
  <c r="F16" i="6"/>
  <c r="F32" i="6"/>
  <c r="F29" i="6"/>
  <c r="F20" i="6"/>
  <c r="F8" i="6"/>
  <c r="F24" i="6"/>
  <c r="F4" i="6"/>
  <c r="F37" i="6"/>
  <c r="F13" i="6"/>
  <c r="F36" i="6"/>
  <c r="F12" i="6"/>
  <c r="F4" i="8" a="1"/>
  <c r="D4" i="24" a="1"/>
  <c r="D4" i="4" a="1"/>
  <c r="E4" i="2" a="1"/>
  <c r="B17" i="21"/>
  <c r="F5" i="8" l="1"/>
  <c r="F6" i="8"/>
  <c r="F10" i="8"/>
  <c r="F7" i="8"/>
  <c r="F8" i="8"/>
  <c r="F9" i="8"/>
  <c r="F4" i="8"/>
  <c r="D27" i="24"/>
  <c r="D53" i="24"/>
  <c r="D43" i="24"/>
  <c r="D9" i="24"/>
  <c r="D39" i="24"/>
  <c r="D6" i="24"/>
  <c r="D8" i="24"/>
  <c r="D33" i="24"/>
  <c r="D51" i="24"/>
  <c r="D18" i="24"/>
  <c r="D32" i="24"/>
  <c r="D10" i="24"/>
  <c r="D4" i="24"/>
  <c r="D30" i="24"/>
  <c r="D21" i="24"/>
  <c r="D34" i="24"/>
  <c r="D16" i="24"/>
  <c r="D42" i="24"/>
  <c r="D45" i="24"/>
  <c r="D46" i="24"/>
  <c r="D28" i="24"/>
  <c r="D22" i="24"/>
  <c r="D12" i="24"/>
  <c r="D26" i="24"/>
  <c r="D36" i="24"/>
  <c r="D37" i="24"/>
  <c r="D35" i="24"/>
  <c r="D25" i="24"/>
  <c r="D40" i="24"/>
  <c r="D11" i="24"/>
  <c r="D24" i="24"/>
  <c r="D13" i="24"/>
  <c r="D23" i="24"/>
  <c r="D50" i="24"/>
  <c r="D7" i="24"/>
  <c r="D29" i="24"/>
  <c r="D20" i="24"/>
  <c r="D15" i="24"/>
  <c r="D31" i="24"/>
  <c r="D44" i="24"/>
  <c r="D49" i="24"/>
  <c r="D52" i="24"/>
  <c r="D5" i="24"/>
  <c r="D48" i="24"/>
  <c r="D14" i="24"/>
  <c r="D17" i="24"/>
  <c r="D47" i="24"/>
  <c r="D38" i="24"/>
  <c r="D19" i="24"/>
  <c r="D41" i="24"/>
  <c r="F7" i="4"/>
  <c r="F6" i="4"/>
  <c r="F4" i="4"/>
  <c r="E6" i="4"/>
  <c r="E7" i="4"/>
  <c r="E5" i="4"/>
  <c r="E4" i="4"/>
  <c r="G7" i="4"/>
  <c r="D7" i="4"/>
  <c r="D4" i="4"/>
  <c r="D6" i="4"/>
  <c r="G5" i="4"/>
  <c r="D5" i="4"/>
  <c r="G6" i="4"/>
  <c r="F5" i="4"/>
  <c r="G4" i="4"/>
  <c r="E8" i="2"/>
  <c r="E7" i="2"/>
  <c r="E4" i="2"/>
  <c r="E6" i="2"/>
  <c r="E5" i="2"/>
</calcChain>
</file>

<file path=xl/sharedStrings.xml><?xml version="1.0" encoding="utf-8"?>
<sst xmlns="http://schemas.openxmlformats.org/spreadsheetml/2006/main" count="241" uniqueCount="115">
  <si>
    <t>A</t>
    <phoneticPr fontId="1"/>
  </si>
  <si>
    <t>B</t>
    <phoneticPr fontId="1"/>
  </si>
  <si>
    <t>Example 2</t>
    <phoneticPr fontId="1"/>
  </si>
  <si>
    <t>X</t>
    <phoneticPr fontId="1"/>
  </si>
  <si>
    <t>Rcond</t>
  </si>
  <si>
    <t>Rcond</t>
    <phoneticPr fontId="1"/>
  </si>
  <si>
    <t>Info</t>
  </si>
  <si>
    <t>Info</t>
    <phoneticPr fontId="1"/>
  </si>
  <si>
    <t>Example 3</t>
    <phoneticPr fontId="1"/>
  </si>
  <si>
    <t>λ</t>
    <phoneticPr fontId="1"/>
  </si>
  <si>
    <t>x</t>
    <phoneticPr fontId="1"/>
  </si>
  <si>
    <t>Info</t>
    <phoneticPr fontId="1"/>
  </si>
  <si>
    <t>Example 4</t>
  </si>
  <si>
    <t>NIST data (Norris): http://www.itl.nist.gov/div898/strd/lls/data/Norris.shtml</t>
  </si>
  <si>
    <t>x</t>
  </si>
  <si>
    <t>y</t>
  </si>
  <si>
    <t>A</t>
  </si>
  <si>
    <t>c</t>
  </si>
  <si>
    <t>y (calc.)</t>
  </si>
  <si>
    <t>Example 5</t>
    <phoneticPr fontId="1"/>
  </si>
  <si>
    <t>n</t>
    <phoneticPr fontId="1"/>
  </si>
  <si>
    <t>ln(n) [data]</t>
  </si>
  <si>
    <t>n</t>
  </si>
  <si>
    <t>ln(n) [calc]</t>
  </si>
  <si>
    <t>Example 6</t>
    <phoneticPr fontId="1"/>
  </si>
  <si>
    <t>a (r)</t>
    <phoneticPr fontId="1"/>
  </si>
  <si>
    <t>x (r)</t>
    <phoneticPr fontId="1"/>
  </si>
  <si>
    <t>x (i)</t>
    <phoneticPr fontId="1"/>
  </si>
  <si>
    <t>s(i)</t>
    <phoneticPr fontId="1"/>
  </si>
  <si>
    <t>Info</t>
    <phoneticPr fontId="1"/>
  </si>
  <si>
    <t>Iterations</t>
    <phoneticPr fontId="1"/>
  </si>
  <si>
    <t>Example 7</t>
    <phoneticPr fontId="1"/>
  </si>
  <si>
    <t>Example 8</t>
    <phoneticPr fontId="1"/>
  </si>
  <si>
    <t>Initial values</t>
    <phoneticPr fontId="1"/>
  </si>
  <si>
    <t>Solutions</t>
    <phoneticPr fontId="1"/>
  </si>
  <si>
    <t>x1</t>
    <phoneticPr fontId="1"/>
  </si>
  <si>
    <t>x2</t>
    <phoneticPr fontId="1"/>
  </si>
  <si>
    <t>d</t>
    <phoneticPr fontId="1"/>
  </si>
  <si>
    <t xml:space="preserve">N = </t>
    <phoneticPr fontId="1"/>
  </si>
  <si>
    <t xml:space="preserve">x = </t>
    <phoneticPr fontId="1"/>
  </si>
  <si>
    <t xml:space="preserve">fi(x) = </t>
    <phoneticPr fontId="1"/>
  </si>
  <si>
    <t>R8C2:R8C3</t>
    <phoneticPr fontId="1"/>
  </si>
  <si>
    <t>R9C2:R9C3</t>
    <phoneticPr fontId="1"/>
  </si>
  <si>
    <t/>
  </si>
  <si>
    <t>R5C1:R5C2</t>
    <phoneticPr fontId="1"/>
  </si>
  <si>
    <t>R5C3:R5C4</t>
    <phoneticPr fontId="1"/>
  </si>
  <si>
    <t>Example 8 (Solver)</t>
    <phoneticPr fontId="1"/>
  </si>
  <si>
    <t>Example 7 (Solver)</t>
    <phoneticPr fontId="1"/>
  </si>
  <si>
    <t>a</t>
    <phoneticPr fontId="1"/>
  </si>
  <si>
    <t>b</t>
    <phoneticPr fontId="1"/>
  </si>
  <si>
    <t>x (f(x) = 0)</t>
    <phoneticPr fontId="1"/>
  </si>
  <si>
    <t xml:space="preserve">f(x) = </t>
    <phoneticPr fontId="1"/>
  </si>
  <si>
    <t>R6C2</t>
    <phoneticPr fontId="1"/>
  </si>
  <si>
    <t>R7C2</t>
    <phoneticPr fontId="1"/>
  </si>
  <si>
    <t>R4C1:R4C3</t>
    <phoneticPr fontId="1"/>
  </si>
  <si>
    <t>Example 9</t>
    <phoneticPr fontId="1"/>
  </si>
  <si>
    <t>Example 9 (Solver)</t>
    <phoneticPr fontId="1"/>
  </si>
  <si>
    <t>Example 10</t>
    <phoneticPr fontId="1"/>
  </si>
  <si>
    <t>R9C2</t>
    <phoneticPr fontId="1"/>
  </si>
  <si>
    <t>Example 10 (Solver)</t>
    <phoneticPr fontId="1"/>
  </si>
  <si>
    <t>Example 11</t>
    <phoneticPr fontId="1"/>
  </si>
  <si>
    <t>Qag</t>
    <phoneticPr fontId="1"/>
  </si>
  <si>
    <t>I</t>
    <phoneticPr fontId="1"/>
  </si>
  <si>
    <t>AbsErr</t>
    <phoneticPr fontId="1"/>
  </si>
  <si>
    <t>Neval</t>
    <phoneticPr fontId="1"/>
  </si>
  <si>
    <t>∫f(x)dx [a, b]</t>
    <phoneticPr fontId="1"/>
  </si>
  <si>
    <t>f(x)</t>
    <phoneticPr fontId="1"/>
  </si>
  <si>
    <t>Example 11 (Solver)</t>
    <phoneticPr fontId="1"/>
  </si>
  <si>
    <t>Example 11 (2)</t>
    <phoneticPr fontId="1"/>
  </si>
  <si>
    <t>R3C2</t>
    <phoneticPr fontId="1"/>
  </si>
  <si>
    <t>R4C2</t>
    <phoneticPr fontId="1"/>
  </si>
  <si>
    <t>R7C1:R7C3</t>
    <phoneticPr fontId="1"/>
  </si>
  <si>
    <t>Example 12</t>
    <phoneticPr fontId="1"/>
  </si>
  <si>
    <t>t</t>
    <phoneticPr fontId="1"/>
  </si>
  <si>
    <t>y (calc.)</t>
    <phoneticPr fontId="1"/>
  </si>
  <si>
    <t>y (exact)</t>
    <phoneticPr fontId="1"/>
  </si>
  <si>
    <t xml:space="preserve">n = </t>
    <phoneticPr fontId="1"/>
  </si>
  <si>
    <t xml:space="preserve">t = </t>
    <phoneticPr fontId="1"/>
  </si>
  <si>
    <t xml:space="preserve">y = </t>
    <phoneticPr fontId="1"/>
  </si>
  <si>
    <t xml:space="preserve">dy/dt = </t>
    <phoneticPr fontId="1"/>
  </si>
  <si>
    <t>R5C2</t>
    <phoneticPr fontId="1"/>
  </si>
  <si>
    <t>Example 12 (Solver)</t>
    <phoneticPr fontId="1"/>
  </si>
  <si>
    <t>Example 13</t>
    <phoneticPr fontId="1"/>
  </si>
  <si>
    <t>DFT</t>
    <phoneticPr fontId="1"/>
  </si>
  <si>
    <t>IDFT</t>
    <phoneticPr fontId="1"/>
  </si>
  <si>
    <t>(Hz)</t>
    <phoneticPr fontId="1"/>
  </si>
  <si>
    <t>PSD</t>
    <phoneticPr fontId="1"/>
  </si>
  <si>
    <t>Example 14</t>
    <phoneticPr fontId="1"/>
  </si>
  <si>
    <t>y(calc)</t>
    <phoneticPr fontId="1"/>
  </si>
  <si>
    <t>Example 14 (Solver)</t>
    <phoneticPr fontId="1"/>
  </si>
  <si>
    <t xml:space="preserve">c1, c2 = </t>
    <phoneticPr fontId="1"/>
  </si>
  <si>
    <t>c1 (init)</t>
    <phoneticPr fontId="1"/>
  </si>
  <si>
    <t>c2 (init)</t>
    <phoneticPr fontId="1"/>
  </si>
  <si>
    <t>R11C4:R24C4</t>
    <phoneticPr fontId="1"/>
  </si>
  <si>
    <t>r=y-y(calc)</t>
    <phoneticPr fontId="1"/>
  </si>
  <si>
    <t>c</t>
    <phoneticPr fontId="1"/>
  </si>
  <si>
    <t>Initial value</t>
    <phoneticPr fontId="1"/>
  </si>
  <si>
    <t>Solution</t>
    <phoneticPr fontId="1"/>
  </si>
  <si>
    <t>Example 8 (2)</t>
    <phoneticPr fontId="1"/>
  </si>
  <si>
    <t>Qk15</t>
    <phoneticPr fontId="1"/>
  </si>
  <si>
    <t>y1 (calc.)</t>
    <phoneticPr fontId="1"/>
  </si>
  <si>
    <t>y2 (calc.)</t>
    <phoneticPr fontId="1"/>
  </si>
  <si>
    <t xml:space="preserve">y1 = </t>
    <phoneticPr fontId="1"/>
  </si>
  <si>
    <t xml:space="preserve">y2 = </t>
    <phoneticPr fontId="1"/>
  </si>
  <si>
    <t xml:space="preserve">dy1/dt = </t>
    <phoneticPr fontId="1"/>
  </si>
  <si>
    <t xml:space="preserve">dy2/dt = </t>
    <phoneticPr fontId="1"/>
  </si>
  <si>
    <t>R5C2:R6C2</t>
    <phoneticPr fontId="1"/>
  </si>
  <si>
    <t>R7C2:R8C2</t>
    <phoneticPr fontId="1"/>
  </si>
  <si>
    <t>c1</t>
    <phoneticPr fontId="1"/>
  </si>
  <si>
    <t>c2</t>
    <phoneticPr fontId="1"/>
  </si>
  <si>
    <t>NIST data (Misra1a): https://www.itl.nist.gov/div898/strd/nls/data/misra1a.shtml</t>
    <phoneticPr fontId="1"/>
  </si>
  <si>
    <t>Example 12 (2)</t>
    <phoneticPr fontId="1"/>
  </si>
  <si>
    <t>Example 12 (2) (Solver)</t>
    <phoneticPr fontId="1"/>
  </si>
  <si>
    <t>R4C4:R23C5</t>
    <phoneticPr fontId="1"/>
  </si>
  <si>
    <t>R4C4:R23C6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</si>
</sst>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2" borderId="14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9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6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1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5" xfId="0" applyBorder="1">
      <alignment vertical="center"/>
    </xf>
    <xf numFmtId="0" fontId="0" fillId="4" borderId="23" xfId="0" applyFill="1" applyBorder="1">
      <alignment vertical="center"/>
    </xf>
    <xf numFmtId="0" fontId="0" fillId="4" borderId="24" xfId="0" applyFill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4" borderId="28" xfId="0" applyFill="1" applyBorder="1">
      <alignment vertical="center"/>
    </xf>
    <xf numFmtId="0" fontId="0" fillId="4" borderId="29" xfId="0" applyFill="1" applyBorder="1">
      <alignment vertical="center"/>
    </xf>
    <xf numFmtId="0" fontId="0" fillId="4" borderId="2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31" xfId="0" applyFill="1" applyBorder="1">
      <alignment vertical="center"/>
    </xf>
    <xf numFmtId="0" fontId="0" fillId="4" borderId="32" xfId="0" applyFill="1" applyBorder="1">
      <alignment vertical="center"/>
    </xf>
    <xf numFmtId="0" fontId="0" fillId="0" borderId="22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23" xfId="0" applyFill="1" applyBorder="1">
      <alignment vertical="center"/>
    </xf>
    <xf numFmtId="0" fontId="0" fillId="2" borderId="24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4" xfId="0" applyBorder="1" applyAlignment="1">
      <alignment horizontal="right" vertical="center"/>
    </xf>
    <xf numFmtId="0" fontId="0" fillId="0" borderId="33" xfId="0" applyBorder="1">
      <alignment vertical="center"/>
    </xf>
    <xf numFmtId="0" fontId="0" fillId="4" borderId="2" xfId="0" applyFill="1" applyBorder="1">
      <alignment vertical="center"/>
    </xf>
    <xf numFmtId="0" fontId="0" fillId="4" borderId="4" xfId="0" applyFill="1" applyBorder="1">
      <alignment vertical="center"/>
    </xf>
    <xf numFmtId="176" fontId="0" fillId="0" borderId="0" xfId="0" applyNumberFormat="1">
      <alignment vertical="center"/>
    </xf>
    <xf numFmtId="176" fontId="0" fillId="4" borderId="1" xfId="0" applyNumberFormat="1" applyFill="1" applyBorder="1">
      <alignment vertical="center"/>
    </xf>
    <xf numFmtId="176" fontId="0" fillId="4" borderId="23" xfId="0" applyNumberFormat="1" applyFill="1" applyBorder="1">
      <alignment vertical="center"/>
    </xf>
    <xf numFmtId="0" fontId="0" fillId="0" borderId="34" xfId="0" applyBorder="1">
      <alignment vertical="center"/>
    </xf>
    <xf numFmtId="0" fontId="0" fillId="4" borderId="30" xfId="0" applyFill="1" applyBorder="1">
      <alignment vertical="center"/>
    </xf>
    <xf numFmtId="0" fontId="0" fillId="3" borderId="28" xfId="0" applyFill="1" applyBorder="1">
      <alignment vertical="center"/>
    </xf>
    <xf numFmtId="176" fontId="0" fillId="4" borderId="24" xfId="0" applyNumberFormat="1" applyFill="1" applyBorder="1">
      <alignment vertical="center"/>
    </xf>
    <xf numFmtId="0" fontId="0" fillId="0" borderId="2" xfId="0" applyBorder="1" applyAlignment="1">
      <alignment horizontal="right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5" borderId="22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30" xfId="0" applyFill="1" applyBorder="1">
      <alignment vertical="center"/>
    </xf>
    <xf numFmtId="0" fontId="0" fillId="4" borderId="22" xfId="0" applyFill="1" applyBorder="1">
      <alignment vertical="center"/>
    </xf>
    <xf numFmtId="0" fontId="0" fillId="0" borderId="3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'Ex4'!$A$5:$A$40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'Ex4'!$B$5:$B$40</c:f>
              <c:numCache>
                <c:formatCode>General</c:formatCode>
                <c:ptCount val="36"/>
                <c:pt idx="0">
                  <c:v>0.1</c:v>
                </c:pt>
                <c:pt idx="1">
                  <c:v>338.8</c:v>
                </c:pt>
                <c:pt idx="2">
                  <c:v>118.1</c:v>
                </c:pt>
                <c:pt idx="3">
                  <c:v>888</c:v>
                </c:pt>
                <c:pt idx="4">
                  <c:v>9.1999999999999993</c:v>
                </c:pt>
                <c:pt idx="5">
                  <c:v>228.1</c:v>
                </c:pt>
                <c:pt idx="6">
                  <c:v>668.5</c:v>
                </c:pt>
                <c:pt idx="7">
                  <c:v>998.5</c:v>
                </c:pt>
                <c:pt idx="8">
                  <c:v>449.1</c:v>
                </c:pt>
                <c:pt idx="9">
                  <c:v>778.9</c:v>
                </c:pt>
                <c:pt idx="10">
                  <c:v>559.20000000000005</c:v>
                </c:pt>
                <c:pt idx="11">
                  <c:v>0.3</c:v>
                </c:pt>
                <c:pt idx="12">
                  <c:v>0.1</c:v>
                </c:pt>
                <c:pt idx="13">
                  <c:v>778.1</c:v>
                </c:pt>
                <c:pt idx="14">
                  <c:v>668.8</c:v>
                </c:pt>
                <c:pt idx="15">
                  <c:v>339.3</c:v>
                </c:pt>
                <c:pt idx="16">
                  <c:v>448.9</c:v>
                </c:pt>
                <c:pt idx="17">
                  <c:v>10.8</c:v>
                </c:pt>
                <c:pt idx="18">
                  <c:v>557.70000000000005</c:v>
                </c:pt>
                <c:pt idx="19">
                  <c:v>228.3</c:v>
                </c:pt>
                <c:pt idx="20">
                  <c:v>998</c:v>
                </c:pt>
                <c:pt idx="21">
                  <c:v>888.8</c:v>
                </c:pt>
                <c:pt idx="22">
                  <c:v>119.6</c:v>
                </c:pt>
                <c:pt idx="23">
                  <c:v>0.3</c:v>
                </c:pt>
                <c:pt idx="24">
                  <c:v>0.6</c:v>
                </c:pt>
                <c:pt idx="25">
                  <c:v>557.6</c:v>
                </c:pt>
                <c:pt idx="26">
                  <c:v>339.3</c:v>
                </c:pt>
                <c:pt idx="27">
                  <c:v>888</c:v>
                </c:pt>
                <c:pt idx="28">
                  <c:v>998.5</c:v>
                </c:pt>
                <c:pt idx="29">
                  <c:v>778.9</c:v>
                </c:pt>
                <c:pt idx="30">
                  <c:v>10.199999999999999</c:v>
                </c:pt>
                <c:pt idx="31">
                  <c:v>117.6</c:v>
                </c:pt>
                <c:pt idx="32">
                  <c:v>228.9</c:v>
                </c:pt>
                <c:pt idx="33">
                  <c:v>668.4</c:v>
                </c:pt>
                <c:pt idx="34">
                  <c:v>449.2</c:v>
                </c:pt>
                <c:pt idx="3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D1-44A6-BF8A-0AC883B0F07E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'Ex4'!$A$5:$A$40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'Ex4'!$F$5:$F$40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D1-44A6-BF8A-0AC883B0F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7160"/>
        <c:axId val="321712064"/>
      </c:scatterChart>
      <c:valAx>
        <c:axId val="321717160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2064"/>
        <c:crosses val="autoZero"/>
        <c:crossBetween val="midCat"/>
      </c:valAx>
      <c:valAx>
        <c:axId val="32171206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Ex4W!$A$4:$A$39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Ex4W!$B$4:$B$39</c:f>
              <c:numCache>
                <c:formatCode>General</c:formatCode>
                <c:ptCount val="36"/>
                <c:pt idx="0">
                  <c:v>0.1</c:v>
                </c:pt>
                <c:pt idx="1">
                  <c:v>338.8</c:v>
                </c:pt>
                <c:pt idx="2">
                  <c:v>118.1</c:v>
                </c:pt>
                <c:pt idx="3">
                  <c:v>888</c:v>
                </c:pt>
                <c:pt idx="4">
                  <c:v>9.1999999999999993</c:v>
                </c:pt>
                <c:pt idx="5">
                  <c:v>228.1</c:v>
                </c:pt>
                <c:pt idx="6">
                  <c:v>668.5</c:v>
                </c:pt>
                <c:pt idx="7">
                  <c:v>998.5</c:v>
                </c:pt>
                <c:pt idx="8">
                  <c:v>449.1</c:v>
                </c:pt>
                <c:pt idx="9">
                  <c:v>778.9</c:v>
                </c:pt>
                <c:pt idx="10">
                  <c:v>559.20000000000005</c:v>
                </c:pt>
                <c:pt idx="11">
                  <c:v>0.3</c:v>
                </c:pt>
                <c:pt idx="12">
                  <c:v>0.1</c:v>
                </c:pt>
                <c:pt idx="13">
                  <c:v>778.1</c:v>
                </c:pt>
                <c:pt idx="14">
                  <c:v>668.8</c:v>
                </c:pt>
                <c:pt idx="15">
                  <c:v>339.3</c:v>
                </c:pt>
                <c:pt idx="16">
                  <c:v>448.9</c:v>
                </c:pt>
                <c:pt idx="17">
                  <c:v>10.8</c:v>
                </c:pt>
                <c:pt idx="18">
                  <c:v>557.70000000000005</c:v>
                </c:pt>
                <c:pt idx="19">
                  <c:v>228.3</c:v>
                </c:pt>
                <c:pt idx="20">
                  <c:v>998</c:v>
                </c:pt>
                <c:pt idx="21">
                  <c:v>888.8</c:v>
                </c:pt>
                <c:pt idx="22">
                  <c:v>119.6</c:v>
                </c:pt>
                <c:pt idx="23">
                  <c:v>0.3</c:v>
                </c:pt>
                <c:pt idx="24">
                  <c:v>0.6</c:v>
                </c:pt>
                <c:pt idx="25">
                  <c:v>557.6</c:v>
                </c:pt>
                <c:pt idx="26">
                  <c:v>339.3</c:v>
                </c:pt>
                <c:pt idx="27">
                  <c:v>888</c:v>
                </c:pt>
                <c:pt idx="28">
                  <c:v>998.5</c:v>
                </c:pt>
                <c:pt idx="29">
                  <c:v>778.9</c:v>
                </c:pt>
                <c:pt idx="30">
                  <c:v>10.199999999999999</c:v>
                </c:pt>
                <c:pt idx="31">
                  <c:v>117.6</c:v>
                </c:pt>
                <c:pt idx="32">
                  <c:v>228.9</c:v>
                </c:pt>
                <c:pt idx="33">
                  <c:v>668.4</c:v>
                </c:pt>
                <c:pt idx="34">
                  <c:v>449.2</c:v>
                </c:pt>
                <c:pt idx="3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49-4141-A50C-35C2499B3F9F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Ex4W!$A$4:$A$39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Ex4W!$F$4:$F$39</c:f>
              <c:numCache>
                <c:formatCode>General</c:formatCode>
                <c:ptCount val="36"/>
                <c:pt idx="0">
                  <c:v>-6.1899710170026323E-2</c:v>
                </c:pt>
                <c:pt idx="1">
                  <c:v>337.85189132632718</c:v>
                </c:pt>
                <c:pt idx="2">
                  <c:v>118.18788481624358</c:v>
                </c:pt>
                <c:pt idx="3">
                  <c:v>886.2102141471197</c:v>
                </c:pt>
                <c:pt idx="4">
                  <c:v>9.8590567882324702</c:v>
                </c:pt>
                <c:pt idx="5">
                  <c:v>226.71713620785877</c:v>
                </c:pt>
                <c:pt idx="6">
                  <c:v>667.44811277325448</c:v>
                </c:pt>
                <c:pt idx="7">
                  <c:v>998.14666272000443</c:v>
                </c:pt>
                <c:pt idx="8">
                  <c:v>449.28728149020174</c:v>
                </c:pt>
                <c:pt idx="9">
                  <c:v>778.38244452811887</c:v>
                </c:pt>
                <c:pt idx="10">
                  <c:v>559.11928474524348</c:v>
                </c:pt>
                <c:pt idx="11">
                  <c:v>0.13852365343406453</c:v>
                </c:pt>
                <c:pt idx="12">
                  <c:v>0.33894701703815538</c:v>
                </c:pt>
                <c:pt idx="13">
                  <c:v>776.87926930108813</c:v>
                </c:pt>
                <c:pt idx="14">
                  <c:v>668.04938286406673</c:v>
                </c:pt>
                <c:pt idx="15">
                  <c:v>338.45316141713943</c:v>
                </c:pt>
                <c:pt idx="16">
                  <c:v>448.1849529903792</c:v>
                </c:pt>
                <c:pt idx="17">
                  <c:v>11.362232015263151</c:v>
                </c:pt>
                <c:pt idx="18">
                  <c:v>556.91462774559841</c:v>
                </c:pt>
                <c:pt idx="19">
                  <c:v>228.32052311669148</c:v>
                </c:pt>
                <c:pt idx="20">
                  <c:v>997.64560431099414</c:v>
                </c:pt>
                <c:pt idx="21">
                  <c:v>889.21656460118106</c:v>
                </c:pt>
                <c:pt idx="22">
                  <c:v>120.19211845228449</c:v>
                </c:pt>
                <c:pt idx="23">
                  <c:v>3.8311971632019104E-2</c:v>
                </c:pt>
                <c:pt idx="24">
                  <c:v>3.8311971632019104E-2</c:v>
                </c:pt>
                <c:pt idx="25">
                  <c:v>557.7163212000147</c:v>
                </c:pt>
                <c:pt idx="26">
                  <c:v>339.55548991696196</c:v>
                </c:pt>
                <c:pt idx="27">
                  <c:v>888.81571787397297</c:v>
                </c:pt>
                <c:pt idx="28">
                  <c:v>1000.8523781286597</c:v>
                </c:pt>
                <c:pt idx="29">
                  <c:v>780.38667816415978</c:v>
                </c:pt>
                <c:pt idx="30">
                  <c:v>10.861173606252924</c:v>
                </c:pt>
                <c:pt idx="31">
                  <c:v>118.28809649804562</c:v>
                </c:pt>
                <c:pt idx="32">
                  <c:v>229.42285161651398</c:v>
                </c:pt>
                <c:pt idx="33">
                  <c:v>670.2540398637118</c:v>
                </c:pt>
                <c:pt idx="34">
                  <c:v>449.5879165356078</c:v>
                </c:pt>
                <c:pt idx="35">
                  <c:v>0.23873533523610996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9-4141-A50C-35C2499B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7160"/>
        <c:axId val="321712064"/>
      </c:scatterChart>
      <c:valAx>
        <c:axId val="321717160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2064"/>
        <c:crosses val="autoZero"/>
        <c:crossBetween val="midCat"/>
      </c:valAx>
      <c:valAx>
        <c:axId val="32171206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'Ex5'!$D$5:$D$11</c:f>
              <c:numCache>
                <c:formatCode>General</c:formatCode>
                <c:ptCount val="7"/>
                <c:pt idx="0">
                  <c:v>1.55</c:v>
                </c:pt>
                <c:pt idx="1">
                  <c:v>1.65</c:v>
                </c:pt>
                <c:pt idx="2">
                  <c:v>1.75</c:v>
                </c:pt>
                <c:pt idx="3">
                  <c:v>1.85</c:v>
                </c:pt>
                <c:pt idx="4">
                  <c:v>1.95</c:v>
                </c:pt>
                <c:pt idx="5">
                  <c:v>2.0499999999999998</c:v>
                </c:pt>
                <c:pt idx="6">
                  <c:v>2.15</c:v>
                </c:pt>
              </c:numCache>
            </c:numRef>
          </c:xVal>
          <c:yVal>
            <c:numRef>
              <c:f>'Ex5'!$E$5:$E$11</c:f>
              <c:numCache>
                <c:formatCode>General</c:formatCode>
                <c:ptCount val="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B3-4244-B8BF-8228CCCE354C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'Ex5'!$A$5:$A$12</c:f>
              <c:numCache>
                <c:formatCode>General</c:formatCode>
                <c:ptCount val="8"/>
                <c:pt idx="0">
                  <c:v>1.5</c:v>
                </c:pt>
                <c:pt idx="1">
                  <c:v>1.6</c:v>
                </c:pt>
                <c:pt idx="2">
                  <c:v>1.7</c:v>
                </c:pt>
                <c:pt idx="3">
                  <c:v>1.8</c:v>
                </c:pt>
                <c:pt idx="4">
                  <c:v>1.9</c:v>
                </c:pt>
                <c:pt idx="5">
                  <c:v>2</c:v>
                </c:pt>
                <c:pt idx="6">
                  <c:v>2.1</c:v>
                </c:pt>
                <c:pt idx="7">
                  <c:v>2.2000000000000002</c:v>
                </c:pt>
              </c:numCache>
            </c:numRef>
          </c:xVal>
          <c:yVal>
            <c:numRef>
              <c:f>'Ex5'!$B$5:$B$12</c:f>
              <c:numCache>
                <c:formatCode>General</c:formatCode>
                <c:ptCount val="8"/>
                <c:pt idx="0">
                  <c:v>0.40546510810816438</c:v>
                </c:pt>
                <c:pt idx="1">
                  <c:v>0.47000362924573563</c:v>
                </c:pt>
                <c:pt idx="2">
                  <c:v>0.53062825106217038</c:v>
                </c:pt>
                <c:pt idx="3">
                  <c:v>0.58778666490211906</c:v>
                </c:pt>
                <c:pt idx="4">
                  <c:v>0.64185388617239469</c:v>
                </c:pt>
                <c:pt idx="5">
                  <c:v>0.69314718055994529</c:v>
                </c:pt>
                <c:pt idx="6">
                  <c:v>0.74193734472937733</c:v>
                </c:pt>
                <c:pt idx="7">
                  <c:v>0.78845736036427028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B3-4244-B8BF-8228CCCE3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21023"/>
        <c:axId val="575126847"/>
      </c:scatterChart>
      <c:valAx>
        <c:axId val="575121023"/>
        <c:scaling>
          <c:orientation val="minMax"/>
          <c:max val="2.2000000000000002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6847"/>
        <c:crosses val="autoZero"/>
        <c:crossBetween val="midCat"/>
      </c:valAx>
      <c:valAx>
        <c:axId val="575126847"/>
        <c:scaling>
          <c:orientation val="minMax"/>
          <c:max val="0.8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1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Ex5W!$E$4:$E$10</c:f>
              <c:numCache>
                <c:formatCode>General</c:formatCode>
                <c:ptCount val="7"/>
                <c:pt idx="0">
                  <c:v>1.55</c:v>
                </c:pt>
                <c:pt idx="1">
                  <c:v>1.65</c:v>
                </c:pt>
                <c:pt idx="2">
                  <c:v>1.75</c:v>
                </c:pt>
                <c:pt idx="3">
                  <c:v>1.85</c:v>
                </c:pt>
                <c:pt idx="4">
                  <c:v>1.95</c:v>
                </c:pt>
                <c:pt idx="5">
                  <c:v>2.0499999999999998</c:v>
                </c:pt>
                <c:pt idx="6">
                  <c:v>2.15</c:v>
                </c:pt>
              </c:numCache>
            </c:numRef>
          </c:xVal>
          <c:yVal>
            <c:numRef>
              <c:f>Ex5W!$F$4:$F$10</c:f>
              <c:numCache>
                <c:formatCode>General</c:formatCode>
                <c:ptCount val="7"/>
                <c:pt idx="0">
                  <c:v>0.43825258909414383</c:v>
                </c:pt>
                <c:pt idx="1">
                  <c:v>0.50077619456704325</c:v>
                </c:pt>
                <c:pt idx="2">
                  <c:v>0.55961576014919823</c:v>
                </c:pt>
                <c:pt idx="3">
                  <c:v>0.61518583766076218</c:v>
                </c:pt>
                <c:pt idx="4">
                  <c:v>0.66782940249974465</c:v>
                </c:pt>
                <c:pt idx="5">
                  <c:v>0.7178401203996736</c:v>
                </c:pt>
                <c:pt idx="6">
                  <c:v>0.76546703192544607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E-4C98-ABFE-F5E47941AE5E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Ex5W!$A$4:$A$11</c:f>
              <c:numCache>
                <c:formatCode>General</c:formatCode>
                <c:ptCount val="8"/>
                <c:pt idx="0">
                  <c:v>1.5</c:v>
                </c:pt>
                <c:pt idx="1">
                  <c:v>1.6</c:v>
                </c:pt>
                <c:pt idx="2">
                  <c:v>1.7</c:v>
                </c:pt>
                <c:pt idx="3">
                  <c:v>1.8</c:v>
                </c:pt>
                <c:pt idx="4">
                  <c:v>1.9</c:v>
                </c:pt>
                <c:pt idx="5">
                  <c:v>2</c:v>
                </c:pt>
                <c:pt idx="6">
                  <c:v>2.1</c:v>
                </c:pt>
                <c:pt idx="7">
                  <c:v>2.2000000000000002</c:v>
                </c:pt>
              </c:numCache>
            </c:numRef>
          </c:xVal>
          <c:yVal>
            <c:numRef>
              <c:f>Ex5W!$B$4:$B$11</c:f>
              <c:numCache>
                <c:formatCode>General</c:formatCode>
                <c:ptCount val="8"/>
                <c:pt idx="0">
                  <c:v>0.40546510810816438</c:v>
                </c:pt>
                <c:pt idx="1">
                  <c:v>0.47000362924573563</c:v>
                </c:pt>
                <c:pt idx="2">
                  <c:v>0.53062825106217038</c:v>
                </c:pt>
                <c:pt idx="3">
                  <c:v>0.58778666490211906</c:v>
                </c:pt>
                <c:pt idx="4">
                  <c:v>0.64185388617239469</c:v>
                </c:pt>
                <c:pt idx="5">
                  <c:v>0.69314718055994529</c:v>
                </c:pt>
                <c:pt idx="6">
                  <c:v>0.74193734472937733</c:v>
                </c:pt>
                <c:pt idx="7">
                  <c:v>0.78845736036427028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0E-4C98-ABFE-F5E47941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21023"/>
        <c:axId val="575126847"/>
      </c:scatterChart>
      <c:valAx>
        <c:axId val="575121023"/>
        <c:scaling>
          <c:orientation val="minMax"/>
          <c:max val="2.2000000000000002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6847"/>
        <c:crosses val="autoZero"/>
        <c:crossBetween val="midCat"/>
      </c:valAx>
      <c:valAx>
        <c:axId val="575126847"/>
        <c:scaling>
          <c:orientation val="minMax"/>
          <c:max val="0.8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1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'Ex7'!$A$5:$A$13</c:f>
              <c:numCache>
                <c:formatCode>General</c:formatCode>
                <c:ptCount val="9"/>
                <c:pt idx="0">
                  <c:v>-4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</c:numCache>
            </c:numRef>
          </c:xVal>
          <c:yVal>
            <c:numRef>
              <c:f>'Ex7'!$B$5:$B$13</c:f>
              <c:numCache>
                <c:formatCode>General</c:formatCode>
                <c:ptCount val="9"/>
                <c:pt idx="0">
                  <c:v>-61</c:v>
                </c:pt>
                <c:pt idx="1">
                  <c:v>-26</c:v>
                </c:pt>
                <c:pt idx="2">
                  <c:v>-9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-1</c:v>
                </c:pt>
                <c:pt idx="7">
                  <c:v>16</c:v>
                </c:pt>
                <c:pt idx="8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FC-4A11-A19D-0E6DFDB07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29456"/>
        <c:axId val="954030000"/>
      </c:scatterChart>
      <c:valAx>
        <c:axId val="95402945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000"/>
        <c:crosses val="autoZero"/>
        <c:crossBetween val="midCat"/>
      </c:valAx>
      <c:valAx>
        <c:axId val="9540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2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'Ex9'!$A$5:$A$13</c:f>
              <c:numCache>
                <c:formatCode>General</c:formatCode>
                <c:ptCount val="9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</c:numCache>
            </c:numRef>
          </c:xVal>
          <c:yVal>
            <c:numRef>
              <c:f>'Ex9'!$B$5:$B$13</c:f>
              <c:numCache>
                <c:formatCode>General</c:formatCode>
                <c:ptCount val="9"/>
                <c:pt idx="0">
                  <c:v>-9</c:v>
                </c:pt>
                <c:pt idx="1">
                  <c:v>-5.375</c:v>
                </c:pt>
                <c:pt idx="2">
                  <c:v>-4</c:v>
                </c:pt>
                <c:pt idx="3">
                  <c:v>-4.125</c:v>
                </c:pt>
                <c:pt idx="4">
                  <c:v>-5</c:v>
                </c:pt>
                <c:pt idx="5">
                  <c:v>-5.875</c:v>
                </c:pt>
                <c:pt idx="6">
                  <c:v>-6</c:v>
                </c:pt>
                <c:pt idx="7">
                  <c:v>-4.625</c:v>
                </c:pt>
                <c:pt idx="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17-4831-BE1A-32973243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29456"/>
        <c:axId val="954030000"/>
      </c:scatterChart>
      <c:valAx>
        <c:axId val="954029456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000"/>
        <c:crosses val="autoZero"/>
        <c:crossBetween val="midCat"/>
      </c:valAx>
      <c:valAx>
        <c:axId val="9540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2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'Ex13'!$A$4:$A$54</c:f>
              <c:numCache>
                <c:formatCode>General</c:formatCode>
                <c:ptCount val="51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3.0000000000000003E-4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6.0000000000000006E-4</c:v>
                </c:pt>
                <c:pt idx="7">
                  <c:v>7.000000000000001E-4</c:v>
                </c:pt>
                <c:pt idx="8">
                  <c:v>8.0000000000000015E-4</c:v>
                </c:pt>
                <c:pt idx="9">
                  <c:v>9.0000000000000019E-4</c:v>
                </c:pt>
                <c:pt idx="10">
                  <c:v>1.0000000000000002E-3</c:v>
                </c:pt>
                <c:pt idx="11">
                  <c:v>1.1000000000000003E-3</c:v>
                </c:pt>
                <c:pt idx="12">
                  <c:v>1.2000000000000003E-3</c:v>
                </c:pt>
                <c:pt idx="13">
                  <c:v>1.3000000000000004E-3</c:v>
                </c:pt>
                <c:pt idx="14">
                  <c:v>1.4000000000000004E-3</c:v>
                </c:pt>
                <c:pt idx="15">
                  <c:v>1.5000000000000005E-3</c:v>
                </c:pt>
                <c:pt idx="16">
                  <c:v>1.6000000000000005E-3</c:v>
                </c:pt>
                <c:pt idx="17">
                  <c:v>1.7000000000000006E-3</c:v>
                </c:pt>
                <c:pt idx="18">
                  <c:v>1.8000000000000006E-3</c:v>
                </c:pt>
                <c:pt idx="19">
                  <c:v>1.9000000000000006E-3</c:v>
                </c:pt>
                <c:pt idx="20">
                  <c:v>2.0000000000000005E-3</c:v>
                </c:pt>
                <c:pt idx="21">
                  <c:v>2.1000000000000003E-3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2.4999999999999996E-3</c:v>
                </c:pt>
                <c:pt idx="26">
                  <c:v>2.5999999999999994E-3</c:v>
                </c:pt>
                <c:pt idx="27">
                  <c:v>2.6999999999999993E-3</c:v>
                </c:pt>
                <c:pt idx="28">
                  <c:v>2.7999999999999991E-3</c:v>
                </c:pt>
                <c:pt idx="29">
                  <c:v>2.8999999999999989E-3</c:v>
                </c:pt>
                <c:pt idx="30">
                  <c:v>2.9999999999999988E-3</c:v>
                </c:pt>
                <c:pt idx="31">
                  <c:v>3.0999999999999986E-3</c:v>
                </c:pt>
                <c:pt idx="32">
                  <c:v>3.1999999999999984E-3</c:v>
                </c:pt>
                <c:pt idx="33">
                  <c:v>3.2999999999999982E-3</c:v>
                </c:pt>
                <c:pt idx="34">
                  <c:v>3.3999999999999981E-3</c:v>
                </c:pt>
                <c:pt idx="35">
                  <c:v>3.4999999999999979E-3</c:v>
                </c:pt>
                <c:pt idx="36">
                  <c:v>3.5999999999999977E-3</c:v>
                </c:pt>
                <c:pt idx="37">
                  <c:v>3.6999999999999976E-3</c:v>
                </c:pt>
                <c:pt idx="38">
                  <c:v>3.7999999999999974E-3</c:v>
                </c:pt>
                <c:pt idx="39">
                  <c:v>3.8999999999999972E-3</c:v>
                </c:pt>
                <c:pt idx="40">
                  <c:v>3.9999999999999975E-3</c:v>
                </c:pt>
                <c:pt idx="41">
                  <c:v>4.0999999999999977E-3</c:v>
                </c:pt>
                <c:pt idx="42">
                  <c:v>4.199999999999998E-3</c:v>
                </c:pt>
                <c:pt idx="43">
                  <c:v>4.2999999999999983E-3</c:v>
                </c:pt>
                <c:pt idx="44">
                  <c:v>4.3999999999999985E-3</c:v>
                </c:pt>
                <c:pt idx="45">
                  <c:v>4.4999999999999988E-3</c:v>
                </c:pt>
                <c:pt idx="46">
                  <c:v>4.5999999999999991E-3</c:v>
                </c:pt>
                <c:pt idx="47">
                  <c:v>4.6999999999999993E-3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</c:numCache>
            </c:numRef>
          </c:xVal>
          <c:yVal>
            <c:numRef>
              <c:f>'Ex13'!$B$4:$B$54</c:f>
              <c:numCache>
                <c:formatCode>General</c:formatCode>
                <c:ptCount val="51"/>
                <c:pt idx="0">
                  <c:v>0</c:v>
                </c:pt>
                <c:pt idx="1">
                  <c:v>1.0192031299406441</c:v>
                </c:pt>
                <c:pt idx="2">
                  <c:v>1.464040924830404</c:v>
                </c:pt>
                <c:pt idx="3">
                  <c:v>1.1663007800304039</c:v>
                </c:pt>
                <c:pt idx="4">
                  <c:v>0.47620337281733716</c:v>
                </c:pt>
                <c:pt idx="5">
                  <c:v>0</c:v>
                </c:pt>
                <c:pt idx="6">
                  <c:v>0.15369880292625659</c:v>
                </c:pt>
                <c:pt idx="7">
                  <c:v>0.8569540171643848</c:v>
                </c:pt>
                <c:pt idx="8">
                  <c:v>1.5893741583947085</c:v>
                </c:pt>
                <c:pt idx="9">
                  <c:v>1.7685399712040604</c:v>
                </c:pt>
                <c:pt idx="10">
                  <c:v>1.1755705045849445</c:v>
                </c:pt>
                <c:pt idx="11">
                  <c:v>0.11943466551982082</c:v>
                </c:pt>
                <c:pt idx="12">
                  <c:v>-0.77949381890171732</c:v>
                </c:pt>
                <c:pt idx="13">
                  <c:v>-1.0301602860303236</c:v>
                </c:pt>
                <c:pt idx="14">
                  <c:v>-0.61681443984953133</c:v>
                </c:pt>
                <c:pt idx="15">
                  <c:v>1.4432899320127035E-15</c:v>
                </c:pt>
                <c:pt idx="16">
                  <c:v>0.22751348565248186</c:v>
                </c:pt>
                <c:pt idx="17">
                  <c:v>-0.22027994653733418</c:v>
                </c:pt>
                <c:pt idx="18">
                  <c:v>-1.1076204842929973</c:v>
                </c:pt>
                <c:pt idx="19">
                  <c:v>-1.8423546539302889</c:v>
                </c:pt>
                <c:pt idx="20">
                  <c:v>-1.9021130325903057</c:v>
                </c:pt>
                <c:pt idx="21">
                  <c:v>-1.2124524781866912</c:v>
                </c:pt>
                <c:pt idx="22">
                  <c:v>-0.20279343182697307</c:v>
                </c:pt>
                <c:pt idx="23">
                  <c:v>0.50053357662697306</c:v>
                </c:pt>
                <c:pt idx="24">
                  <c:v>0.52182335561093574</c:v>
                </c:pt>
                <c:pt idx="25">
                  <c:v>3.2771094865546857E-15</c:v>
                </c:pt>
                <c:pt idx="26">
                  <c:v>-0.52182335561093007</c:v>
                </c:pt>
                <c:pt idx="27">
                  <c:v>-0.50053357662697739</c:v>
                </c:pt>
                <c:pt idx="28">
                  <c:v>0.20279343182696119</c:v>
                </c:pt>
                <c:pt idx="29">
                  <c:v>1.212452478186679</c:v>
                </c:pt>
                <c:pt idx="30">
                  <c:v>1.9021130325903015</c:v>
                </c:pt>
                <c:pt idx="31">
                  <c:v>1.8423546539302955</c:v>
                </c:pt>
                <c:pt idx="32">
                  <c:v>1.1076204842930115</c:v>
                </c:pt>
                <c:pt idx="33">
                  <c:v>0.22027994653734706</c:v>
                </c:pt>
                <c:pt idx="34">
                  <c:v>-0.22751348565248097</c:v>
                </c:pt>
                <c:pt idx="35">
                  <c:v>-1.3655743202889425E-14</c:v>
                </c:pt>
                <c:pt idx="36">
                  <c:v>0.61681443984951445</c:v>
                </c:pt>
                <c:pt idx="37">
                  <c:v>1.0301602860303181</c:v>
                </c:pt>
                <c:pt idx="38">
                  <c:v>0.77949381890173308</c:v>
                </c:pt>
                <c:pt idx="39">
                  <c:v>-0.11943466551978663</c:v>
                </c:pt>
                <c:pt idx="40">
                  <c:v>-1.1755705045849174</c:v>
                </c:pt>
                <c:pt idx="41">
                  <c:v>-1.7685399712040555</c:v>
                </c:pt>
                <c:pt idx="42">
                  <c:v>-1.5893741583947247</c:v>
                </c:pt>
                <c:pt idx="43">
                  <c:v>-0.85695401716439989</c:v>
                </c:pt>
                <c:pt idx="44">
                  <c:v>-0.15369880292626437</c:v>
                </c:pt>
                <c:pt idx="45">
                  <c:v>2.9976021664879227E-15</c:v>
                </c:pt>
                <c:pt idx="46">
                  <c:v>-0.47620337281732872</c:v>
                </c:pt>
                <c:pt idx="47">
                  <c:v>-1.1663007800303982</c:v>
                </c:pt>
                <c:pt idx="48">
                  <c:v>-1.464040924830404</c:v>
                </c:pt>
                <c:pt idx="49">
                  <c:v>-1.0192031299406472</c:v>
                </c:pt>
                <c:pt idx="50">
                  <c:v>-2.205267218835516E-15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5E-47E4-B628-05D5B59E3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072296"/>
        <c:axId val="394075040"/>
      </c:scatterChart>
      <c:valAx>
        <c:axId val="394072296"/>
        <c:scaling>
          <c:orientation val="minMax"/>
          <c:max val="5.00000000000000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075040"/>
        <c:crosses val="autoZero"/>
        <c:crossBetween val="midCat"/>
      </c:valAx>
      <c:valAx>
        <c:axId val="3940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07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'Ex13'!$F$4:$F$29</c:f>
              <c:numCache>
                <c:formatCode>General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600.00000000000011</c:v>
                </c:pt>
                <c:pt idx="4">
                  <c:v>800</c:v>
                </c:pt>
                <c:pt idx="5">
                  <c:v>1000</c:v>
                </c:pt>
                <c:pt idx="6">
                  <c:v>1200.0000000000002</c:v>
                </c:pt>
                <c:pt idx="7">
                  <c:v>1400.0000000000002</c:v>
                </c:pt>
                <c:pt idx="8">
                  <c:v>1600.0000000000002</c:v>
                </c:pt>
                <c:pt idx="9">
                  <c:v>1800.0000000000002</c:v>
                </c:pt>
                <c:pt idx="10">
                  <c:v>2000.0000000000002</c:v>
                </c:pt>
                <c:pt idx="11">
                  <c:v>2200.0000000000005</c:v>
                </c:pt>
                <c:pt idx="12">
                  <c:v>2400.0000000000005</c:v>
                </c:pt>
                <c:pt idx="13">
                  <c:v>2600.0000000000005</c:v>
                </c:pt>
                <c:pt idx="14">
                  <c:v>2800.0000000000005</c:v>
                </c:pt>
                <c:pt idx="15">
                  <c:v>3000.0000000000014</c:v>
                </c:pt>
                <c:pt idx="16">
                  <c:v>3200.0000000000005</c:v>
                </c:pt>
                <c:pt idx="17">
                  <c:v>3400.0000000000014</c:v>
                </c:pt>
                <c:pt idx="18">
                  <c:v>3600.0000000000014</c:v>
                </c:pt>
                <c:pt idx="19">
                  <c:v>3800.0000000000014</c:v>
                </c:pt>
                <c:pt idx="20">
                  <c:v>4000.0000000000005</c:v>
                </c:pt>
                <c:pt idx="21">
                  <c:v>4200.0000000000009</c:v>
                </c:pt>
                <c:pt idx="22">
                  <c:v>4400</c:v>
                </c:pt>
                <c:pt idx="23">
                  <c:v>4600</c:v>
                </c:pt>
                <c:pt idx="24">
                  <c:v>4799.9999999999991</c:v>
                </c:pt>
                <c:pt idx="25">
                  <c:v>4999.9999999999991</c:v>
                </c:pt>
              </c:numCache>
            </c:numRef>
          </c:cat>
          <c:val>
            <c:numRef>
              <c:f>'Ex13'!$G$4:$G$14</c:f>
              <c:numCache>
                <c:formatCode>General</c:formatCode>
                <c:ptCount val="11"/>
                <c:pt idx="0">
                  <c:v>2.211541462748929E-29</c:v>
                </c:pt>
                <c:pt idx="1">
                  <c:v>1.3424614717519806E-28</c:v>
                </c:pt>
                <c:pt idx="2">
                  <c:v>24.999999999999979</c:v>
                </c:pt>
                <c:pt idx="3">
                  <c:v>1.1471667988120437E-28</c:v>
                </c:pt>
                <c:pt idx="4">
                  <c:v>5.2678694124110081E-29</c:v>
                </c:pt>
                <c:pt idx="5">
                  <c:v>1.6415678922781779E-28</c:v>
                </c:pt>
                <c:pt idx="6">
                  <c:v>1.293451681300351E-27</c:v>
                </c:pt>
                <c:pt idx="7">
                  <c:v>25</c:v>
                </c:pt>
                <c:pt idx="8">
                  <c:v>1.2927700170831622E-27</c:v>
                </c:pt>
                <c:pt idx="9">
                  <c:v>1.5228000863122786E-28</c:v>
                </c:pt>
                <c:pt idx="10">
                  <c:v>3.2605157621168984E-29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2-43B9-942B-92005B0F7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951839"/>
        <c:axId val="1129954335"/>
      </c:barChart>
      <c:catAx>
        <c:axId val="112995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9954335"/>
        <c:crosses val="autoZero"/>
        <c:auto val="1"/>
        <c:lblAlgn val="ctr"/>
        <c:lblOffset val="100"/>
        <c:noMultiLvlLbl val="0"/>
      </c:catAx>
      <c:valAx>
        <c:axId val="112995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9951839"/>
        <c:crossesAt val="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'Ex14'!$A$9:$A$22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'Ex14'!$B$9:$B$22</c:f>
              <c:numCache>
                <c:formatCode>General</c:formatCode>
                <c:ptCount val="14"/>
                <c:pt idx="0">
                  <c:v>10.07</c:v>
                </c:pt>
                <c:pt idx="1">
                  <c:v>14.73</c:v>
                </c:pt>
                <c:pt idx="2">
                  <c:v>17.940000000000001</c:v>
                </c:pt>
                <c:pt idx="3">
                  <c:v>23.93</c:v>
                </c:pt>
                <c:pt idx="4">
                  <c:v>29.61</c:v>
                </c:pt>
                <c:pt idx="5">
                  <c:v>35.18</c:v>
                </c:pt>
                <c:pt idx="6">
                  <c:v>40.020000000000003</c:v>
                </c:pt>
                <c:pt idx="7">
                  <c:v>44.82</c:v>
                </c:pt>
                <c:pt idx="8">
                  <c:v>50.76</c:v>
                </c:pt>
                <c:pt idx="9">
                  <c:v>55.05</c:v>
                </c:pt>
                <c:pt idx="10">
                  <c:v>61.01</c:v>
                </c:pt>
                <c:pt idx="11">
                  <c:v>66.400000000000006</c:v>
                </c:pt>
                <c:pt idx="12">
                  <c:v>75.47</c:v>
                </c:pt>
                <c:pt idx="13">
                  <c:v>81.78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8-45E2-97BB-19F3E912E29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'Ex14'!$A$9:$A$22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'Ex14'!$C$9:$C$22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B8-45E2-97BB-19F3E912E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9327"/>
        <c:axId val="244657663"/>
      </c:scatterChart>
      <c:valAx>
        <c:axId val="24465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7663"/>
        <c:crosses val="autoZero"/>
        <c:crossBetween val="midCat"/>
      </c:valAx>
      <c:valAx>
        <c:axId val="2446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Ex14S!$A$11:$A$24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Ex14S!$B$11:$B$24</c:f>
              <c:numCache>
                <c:formatCode>General</c:formatCode>
                <c:ptCount val="14"/>
                <c:pt idx="0">
                  <c:v>10.07</c:v>
                </c:pt>
                <c:pt idx="1">
                  <c:v>14.73</c:v>
                </c:pt>
                <c:pt idx="2">
                  <c:v>17.940000000000001</c:v>
                </c:pt>
                <c:pt idx="3">
                  <c:v>23.93</c:v>
                </c:pt>
                <c:pt idx="4">
                  <c:v>29.61</c:v>
                </c:pt>
                <c:pt idx="5">
                  <c:v>35.18</c:v>
                </c:pt>
                <c:pt idx="6">
                  <c:v>40.020000000000003</c:v>
                </c:pt>
                <c:pt idx="7">
                  <c:v>44.82</c:v>
                </c:pt>
                <c:pt idx="8">
                  <c:v>50.76</c:v>
                </c:pt>
                <c:pt idx="9">
                  <c:v>55.05</c:v>
                </c:pt>
                <c:pt idx="10">
                  <c:v>61.01</c:v>
                </c:pt>
                <c:pt idx="11">
                  <c:v>66.400000000000006</c:v>
                </c:pt>
                <c:pt idx="12">
                  <c:v>75.47</c:v>
                </c:pt>
                <c:pt idx="13">
                  <c:v>81.78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9C-42C4-9C54-9381011A692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Ex14S!$A$11:$A$24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Ex14S!$C$11:$C$24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C-42C4-9C54-9381011A6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9327"/>
        <c:axId val="244657663"/>
      </c:scatterChart>
      <c:valAx>
        <c:axId val="24465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7663"/>
        <c:crosses val="autoZero"/>
        <c:crossBetween val="midCat"/>
      </c:valAx>
      <c:valAx>
        <c:axId val="2446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5</xdr:col>
          <xdr:colOff>9525</xdr:colOff>
          <xdr:row>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4</xdr:col>
          <xdr:colOff>676275</xdr:colOff>
          <xdr:row>2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</xdr:row>
          <xdr:rowOff>19050</xdr:rowOff>
        </xdr:from>
        <xdr:to>
          <xdr:col>7</xdr:col>
          <xdr:colOff>0</xdr:colOff>
          <xdr:row>2</xdr:row>
          <xdr:rowOff>9525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238124</xdr:rowOff>
    </xdr:from>
    <xdr:to>
      <xdr:col>13</xdr:col>
      <xdr:colOff>676275</xdr:colOff>
      <xdr:row>20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3</xdr:col>
          <xdr:colOff>676275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1</xdr:row>
          <xdr:rowOff>19050</xdr:rowOff>
        </xdr:from>
        <xdr:to>
          <xdr:col>6</xdr:col>
          <xdr:colOff>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13</xdr:col>
      <xdr:colOff>676275</xdr:colOff>
      <xdr:row>19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681037</xdr:colOff>
      <xdr:row>2</xdr:row>
      <xdr:rowOff>228601</xdr:rowOff>
    </xdr:from>
    <xdr:to>
      <xdr:col>12</xdr:col>
      <xdr:colOff>676275</xdr:colOff>
      <xdr:row>18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</xdr:row>
          <xdr:rowOff>9525</xdr:rowOff>
        </xdr:from>
        <xdr:to>
          <xdr:col>3</xdr:col>
          <xdr:colOff>228600</xdr:colOff>
          <xdr:row>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</xdr:row>
          <xdr:rowOff>9525</xdr:rowOff>
        </xdr:from>
        <xdr:to>
          <xdr:col>4</xdr:col>
          <xdr:colOff>952500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681036</xdr:colOff>
      <xdr:row>1</xdr:row>
      <xdr:rowOff>228600</xdr:rowOff>
    </xdr:from>
    <xdr:to>
      <xdr:col>13</xdr:col>
      <xdr:colOff>685799</xdr:colOff>
      <xdr:row>16</xdr:row>
      <xdr:rowOff>238124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685800</xdr:colOff>
          <xdr:row>2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19050</xdr:rowOff>
        </xdr:from>
        <xdr:to>
          <xdr:col>4</xdr:col>
          <xdr:colOff>0</xdr:colOff>
          <xdr:row>2</xdr:row>
          <xdr:rowOff>9525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8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14286</xdr:colOff>
      <xdr:row>0</xdr:row>
      <xdr:rowOff>157162</xdr:rowOff>
    </xdr:from>
    <xdr:to>
      <xdr:col>9</xdr:col>
      <xdr:colOff>9525</xdr:colOff>
      <xdr:row>16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2</xdr:col>
          <xdr:colOff>676275</xdr:colOff>
          <xdr:row>2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2</xdr:col>
          <xdr:colOff>676275</xdr:colOff>
          <xdr:row>2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E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E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14286</xdr:colOff>
      <xdr:row>0</xdr:row>
      <xdr:rowOff>157162</xdr:rowOff>
    </xdr:from>
    <xdr:to>
      <xdr:col>9</xdr:col>
      <xdr:colOff>9525</xdr:colOff>
      <xdr:row>16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2</xdr:col>
          <xdr:colOff>676275</xdr:colOff>
          <xdr:row>2</xdr:row>
          <xdr:rowOff>9525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685800</xdr:colOff>
          <xdr:row>2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1</xdr:row>
          <xdr:rowOff>0</xdr:rowOff>
        </xdr:from>
        <xdr:to>
          <xdr:col>2</xdr:col>
          <xdr:colOff>952500</xdr:colOff>
          <xdr:row>2</xdr:row>
          <xdr:rowOff>9525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685800</xdr:colOff>
          <xdr:row>2</xdr:row>
          <xdr:rowOff>9525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19050</xdr:colOff>
          <xdr:row>2</xdr:row>
          <xdr:rowOff>9525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685800</xdr:colOff>
          <xdr:row>2</xdr:row>
          <xdr:rowOff>9525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0</xdr:rowOff>
        </xdr:from>
        <xdr:to>
          <xdr:col>3</xdr:col>
          <xdr:colOff>952500</xdr:colOff>
          <xdr:row>2</xdr:row>
          <xdr:rowOff>9525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7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Start_d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685800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9525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</xdr:colOff>
      <xdr:row>1</xdr:row>
      <xdr:rowOff>4762</xdr:rowOff>
    </xdr:from>
    <xdr:to>
      <xdr:col>14</xdr:col>
      <xdr:colOff>209550</xdr:colOff>
      <xdr:row>17</xdr:row>
      <xdr:rowOff>4762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</xdr:colOff>
      <xdr:row>18</xdr:row>
      <xdr:rowOff>0</xdr:rowOff>
    </xdr:from>
    <xdr:to>
      <xdr:col>14</xdr:col>
      <xdr:colOff>209550</xdr:colOff>
      <xdr:row>31</xdr:row>
      <xdr:rowOff>9525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681037</xdr:colOff>
      <xdr:row>5</xdr:row>
      <xdr:rowOff>0</xdr:rowOff>
    </xdr:from>
    <xdr:to>
      <xdr:col>12</xdr:col>
      <xdr:colOff>452437</xdr:colOff>
      <xdr:row>19</xdr:row>
      <xdr:rowOff>219074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2</xdr:col>
          <xdr:colOff>676275</xdr:colOff>
          <xdr:row>2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0</xdr:rowOff>
        </xdr:from>
        <xdr:to>
          <xdr:col>5</xdr:col>
          <xdr:colOff>0</xdr:colOff>
          <xdr:row>2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681037</xdr:colOff>
      <xdr:row>8</xdr:row>
      <xdr:rowOff>228600</xdr:rowOff>
    </xdr:from>
    <xdr:to>
      <xdr:col>11</xdr:col>
      <xdr:colOff>452437</xdr:colOff>
      <xdr:row>23</xdr:row>
      <xdr:rowOff>209549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6CD059-8ABC-44EE-8A7E-2BB547D5C3D7}">
  <we:reference id="wa104380862" version="1.5.0.0" store="ja-JP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7CFAD-8C27-437A-A5C9-BF60D38C9156}">
  <sheetPr codeName="Sheet1"/>
  <dimension ref="A1:F9"/>
  <sheetViews>
    <sheetView tabSelected="1" workbookViewId="0"/>
  </sheetViews>
  <sheetFormatPr defaultRowHeight="18.75" x14ac:dyDescent="0.4"/>
  <sheetData>
    <row r="1" spans="1:6" x14ac:dyDescent="0.4">
      <c r="A1" t="s">
        <v>2</v>
      </c>
    </row>
    <row r="4" spans="1:6" x14ac:dyDescent="0.4">
      <c r="A4" s="59" t="s">
        <v>0</v>
      </c>
      <c r="B4" s="63"/>
      <c r="C4" s="60"/>
      <c r="D4" s="62" t="s">
        <v>1</v>
      </c>
      <c r="E4" s="62" t="s">
        <v>3</v>
      </c>
    </row>
    <row r="5" spans="1:6" x14ac:dyDescent="0.4">
      <c r="A5" s="1">
        <v>10</v>
      </c>
      <c r="B5" s="2">
        <v>-7</v>
      </c>
      <c r="C5" s="3">
        <v>0</v>
      </c>
      <c r="D5" s="4">
        <v>7</v>
      </c>
      <c r="E5" s="13"/>
    </row>
    <row r="6" spans="1:6" x14ac:dyDescent="0.4">
      <c r="A6" s="5">
        <v>-3</v>
      </c>
      <c r="B6" s="6">
        <v>2</v>
      </c>
      <c r="C6" s="7">
        <v>6</v>
      </c>
      <c r="D6" s="8">
        <v>4</v>
      </c>
      <c r="E6" s="14"/>
    </row>
    <row r="7" spans="1:6" x14ac:dyDescent="0.4">
      <c r="A7" s="9">
        <v>5</v>
      </c>
      <c r="B7" s="10">
        <v>-1</v>
      </c>
      <c r="C7" s="11">
        <v>5</v>
      </c>
      <c r="D7" s="12">
        <v>6</v>
      </c>
      <c r="E7" s="15"/>
    </row>
    <row r="8" spans="1:6" x14ac:dyDescent="0.4">
      <c r="E8" s="16"/>
      <c r="F8" t="s">
        <v>5</v>
      </c>
    </row>
    <row r="9" spans="1:6" x14ac:dyDescent="0.4">
      <c r="E9" s="16"/>
      <c r="F9" t="s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2.Start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2.Clear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BA83-6F7C-47DF-93FF-1C310E4CE9DD}">
  <sheetPr codeName="Sheet2"/>
  <dimension ref="A1:F8"/>
  <sheetViews>
    <sheetView workbookViewId="0">
      <selection activeCell="E4" sqref="E4:E8"/>
    </sheetView>
  </sheetViews>
  <sheetFormatPr defaultRowHeight="18.75" x14ac:dyDescent="0.4"/>
  <sheetData>
    <row r="1" spans="1:6" x14ac:dyDescent="0.4">
      <c r="A1" t="s">
        <v>2</v>
      </c>
    </row>
    <row r="3" spans="1:6" x14ac:dyDescent="0.4">
      <c r="A3" s="59" t="s">
        <v>0</v>
      </c>
      <c r="B3" s="63"/>
      <c r="C3" s="60"/>
      <c r="D3" s="62" t="s">
        <v>1</v>
      </c>
      <c r="E3" s="62" t="s">
        <v>3</v>
      </c>
    </row>
    <row r="4" spans="1:6" x14ac:dyDescent="0.4">
      <c r="A4" s="1">
        <v>10</v>
      </c>
      <c r="B4" s="2">
        <v>-7</v>
      </c>
      <c r="C4" s="3">
        <v>0</v>
      </c>
      <c r="D4" s="4">
        <v>7</v>
      </c>
      <c r="E4" s="13">
        <f t="array" ref="E4:E8">_xll.WDgesv(3,A4:C6,D4:D6)</f>
        <v>0</v>
      </c>
    </row>
    <row r="5" spans="1:6" x14ac:dyDescent="0.4">
      <c r="A5" s="5">
        <v>-3</v>
      </c>
      <c r="B5" s="6">
        <v>2</v>
      </c>
      <c r="C5" s="7">
        <v>6</v>
      </c>
      <c r="D5" s="8">
        <v>4</v>
      </c>
      <c r="E5" s="14">
        <v>-1</v>
      </c>
    </row>
    <row r="6" spans="1:6" x14ac:dyDescent="0.4">
      <c r="A6" s="9">
        <v>5</v>
      </c>
      <c r="B6" s="10">
        <v>-1</v>
      </c>
      <c r="C6" s="11">
        <v>5</v>
      </c>
      <c r="D6" s="12">
        <v>6</v>
      </c>
      <c r="E6" s="15">
        <v>1</v>
      </c>
    </row>
    <row r="7" spans="1:6" x14ac:dyDescent="0.4">
      <c r="E7" s="16">
        <v>7.8282828282828287E-2</v>
      </c>
      <c r="F7" t="s">
        <v>4</v>
      </c>
    </row>
    <row r="8" spans="1:6" x14ac:dyDescent="0.4">
      <c r="E8" s="16">
        <v>0</v>
      </c>
      <c r="F8" t="s">
        <v>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8E43F-5E2A-4FD2-AE72-D8F60EF222AE}">
  <sheetPr codeName="Sheet3"/>
  <dimension ref="A1:G9"/>
  <sheetViews>
    <sheetView workbookViewId="0"/>
  </sheetViews>
  <sheetFormatPr defaultRowHeight="18.75" x14ac:dyDescent="0.4"/>
  <sheetData>
    <row r="1" spans="1:7" x14ac:dyDescent="0.4">
      <c r="A1" t="s">
        <v>8</v>
      </c>
    </row>
    <row r="4" spans="1:7" x14ac:dyDescent="0.4">
      <c r="A4" s="59" t="s">
        <v>0</v>
      </c>
      <c r="B4" s="63"/>
      <c r="C4" s="60"/>
      <c r="D4" s="62" t="s">
        <v>9</v>
      </c>
      <c r="E4" s="59" t="s">
        <v>10</v>
      </c>
      <c r="F4" s="64"/>
      <c r="G4" s="60"/>
    </row>
    <row r="5" spans="1:7" x14ac:dyDescent="0.4">
      <c r="A5" s="21">
        <v>10</v>
      </c>
      <c r="B5" s="2">
        <v>-3</v>
      </c>
      <c r="C5" s="22">
        <v>5</v>
      </c>
      <c r="D5" s="13"/>
      <c r="E5" s="27"/>
      <c r="F5" s="28"/>
      <c r="G5" s="29"/>
    </row>
    <row r="6" spans="1:7" x14ac:dyDescent="0.4">
      <c r="A6" s="23">
        <v>-3</v>
      </c>
      <c r="B6" s="6">
        <v>2</v>
      </c>
      <c r="C6" s="24">
        <v>-1</v>
      </c>
      <c r="D6" s="14"/>
      <c r="E6" s="30"/>
      <c r="F6" s="31"/>
      <c r="G6" s="32"/>
    </row>
    <row r="7" spans="1:7" x14ac:dyDescent="0.4">
      <c r="A7" s="25">
        <v>5</v>
      </c>
      <c r="B7" s="10">
        <v>-1</v>
      </c>
      <c r="C7" s="26">
        <v>5</v>
      </c>
      <c r="D7" s="15"/>
      <c r="E7" s="33"/>
      <c r="F7" s="34"/>
      <c r="G7" s="35"/>
    </row>
    <row r="8" spans="1:7" x14ac:dyDescent="0.4">
      <c r="D8" s="16"/>
    </row>
    <row r="9" spans="1:7" x14ac:dyDescent="0.4">
      <c r="D9" t="s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Ex3.Start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4</xdr:col>
                    <xdr:colOff>676275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3.Clear">
                <anchor moveWithCells="1" sizeWithCells="1">
                  <from>
                    <xdr:col>5</xdr:col>
                    <xdr:colOff>676275</xdr:colOff>
                    <xdr:row>1</xdr:row>
                    <xdr:rowOff>19050</xdr:rowOff>
                  </from>
                  <to>
                    <xdr:col>7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C58E-B187-4A4E-AD82-205D2F2D014B}">
  <sheetPr codeName="Sheet4"/>
  <dimension ref="A1:G8"/>
  <sheetViews>
    <sheetView workbookViewId="0">
      <selection activeCell="D4" sqref="D4:G7"/>
    </sheetView>
  </sheetViews>
  <sheetFormatPr defaultRowHeight="18.75" x14ac:dyDescent="0.4"/>
  <sheetData>
    <row r="1" spans="1:7" x14ac:dyDescent="0.4">
      <c r="A1" t="s">
        <v>8</v>
      </c>
    </row>
    <row r="3" spans="1:7" x14ac:dyDescent="0.4">
      <c r="A3" s="59" t="s">
        <v>0</v>
      </c>
      <c r="B3" s="63"/>
      <c r="C3" s="60"/>
      <c r="D3" s="62" t="s">
        <v>9</v>
      </c>
      <c r="E3" s="59" t="s">
        <v>10</v>
      </c>
      <c r="F3" s="64"/>
      <c r="G3" s="60"/>
    </row>
    <row r="4" spans="1:7" x14ac:dyDescent="0.4">
      <c r="A4" s="21">
        <v>10</v>
      </c>
      <c r="B4" s="2">
        <v>-3</v>
      </c>
      <c r="C4" s="22">
        <v>5</v>
      </c>
      <c r="D4" s="13">
        <f t="array" ref="D4:G7">_xll.WDsyev("V","L",3,A4:C6)</f>
        <v>0.76867917054658674</v>
      </c>
      <c r="E4" s="27">
        <v>0.4516668738030209</v>
      </c>
      <c r="F4" s="28">
        <v>-0.32410113737877921</v>
      </c>
      <c r="G4" s="29">
        <v>-0.83123732342742396</v>
      </c>
    </row>
    <row r="5" spans="1:7" x14ac:dyDescent="0.4">
      <c r="A5" s="23">
        <v>-3</v>
      </c>
      <c r="B5" s="6">
        <v>2</v>
      </c>
      <c r="C5" s="24">
        <v>-1</v>
      </c>
      <c r="D5" s="14">
        <v>2.3415265230316211</v>
      </c>
      <c r="E5" s="30">
        <v>0.82541907866058839</v>
      </c>
      <c r="F5" s="31">
        <v>0.50543389655123017</v>
      </c>
      <c r="G5" s="32">
        <v>0.25143571902207068</v>
      </c>
    </row>
    <row r="6" spans="1:7" x14ac:dyDescent="0.4">
      <c r="A6" s="25">
        <v>5</v>
      </c>
      <c r="B6" s="10">
        <v>-1</v>
      </c>
      <c r="C6" s="26">
        <v>5</v>
      </c>
      <c r="D6" s="15">
        <v>13.889794306421793</v>
      </c>
      <c r="E6" s="33">
        <v>-0.3386449168260337</v>
      </c>
      <c r="F6" s="34">
        <v>0.79968433082487089</v>
      </c>
      <c r="G6" s="35">
        <v>-0.49580701017741441</v>
      </c>
    </row>
    <row r="7" spans="1:7" x14ac:dyDescent="0.4">
      <c r="D7" s="16">
        <v>0</v>
      </c>
      <c r="E7">
        <v>0</v>
      </c>
      <c r="F7">
        <v>0</v>
      </c>
      <c r="G7">
        <v>0</v>
      </c>
    </row>
    <row r="8" spans="1:7" x14ac:dyDescent="0.4">
      <c r="D8" t="s">
        <v>11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A865B-9B07-457C-8187-59C45BA6F716}">
  <sheetPr codeName="Sheet5"/>
  <dimension ref="A1:H40"/>
  <sheetViews>
    <sheetView workbookViewId="0"/>
  </sheetViews>
  <sheetFormatPr defaultRowHeight="18.75" x14ac:dyDescent="0.4"/>
  <cols>
    <col min="6" max="6" width="9.375" bestFit="1" customWidth="1"/>
  </cols>
  <sheetData>
    <row r="1" spans="1:8" x14ac:dyDescent="0.4">
      <c r="A1" t="s">
        <v>12</v>
      </c>
    </row>
    <row r="3" spans="1:8" x14ac:dyDescent="0.4">
      <c r="H3" t="s">
        <v>13</v>
      </c>
    </row>
    <row r="4" spans="1:8" x14ac:dyDescent="0.4">
      <c r="A4" s="62" t="s">
        <v>14</v>
      </c>
      <c r="B4" s="62" t="s">
        <v>15</v>
      </c>
      <c r="C4" s="59" t="s">
        <v>16</v>
      </c>
      <c r="D4" s="60"/>
      <c r="E4" s="62" t="s">
        <v>95</v>
      </c>
      <c r="F4" s="62" t="s">
        <v>18</v>
      </c>
    </row>
    <row r="5" spans="1:8" x14ac:dyDescent="0.4">
      <c r="A5" s="4">
        <v>0.2</v>
      </c>
      <c r="B5" s="4">
        <v>0.1</v>
      </c>
      <c r="C5" s="40">
        <v>1</v>
      </c>
      <c r="D5" s="41">
        <f>A5^1</f>
        <v>0.2</v>
      </c>
      <c r="E5" s="13"/>
      <c r="F5" s="17">
        <f>E$5+E$6*A5</f>
        <v>0</v>
      </c>
    </row>
    <row r="6" spans="1:8" x14ac:dyDescent="0.4">
      <c r="A6" s="8">
        <v>337.4</v>
      </c>
      <c r="B6" s="8">
        <v>338.8</v>
      </c>
      <c r="C6" s="42">
        <f t="shared" ref="C6:C40" si="0">A6^0</f>
        <v>1</v>
      </c>
      <c r="D6" s="43">
        <f t="shared" ref="D6:D40" si="1">A6^1</f>
        <v>337.4</v>
      </c>
      <c r="E6" s="36"/>
      <c r="F6" s="18">
        <f t="shared" ref="F6:F40" si="2">E$5+E$6*A6</f>
        <v>0</v>
      </c>
    </row>
    <row r="7" spans="1:8" x14ac:dyDescent="0.4">
      <c r="A7" s="8">
        <v>118.2</v>
      </c>
      <c r="B7" s="8">
        <v>118.1</v>
      </c>
      <c r="C7" s="42">
        <f t="shared" si="0"/>
        <v>1</v>
      </c>
      <c r="D7" s="43">
        <f t="shared" si="1"/>
        <v>118.2</v>
      </c>
      <c r="E7" s="16"/>
      <c r="F7" s="18">
        <f t="shared" si="2"/>
        <v>0</v>
      </c>
    </row>
    <row r="8" spans="1:8" x14ac:dyDescent="0.4">
      <c r="A8" s="8">
        <v>884.6</v>
      </c>
      <c r="B8" s="8">
        <v>888</v>
      </c>
      <c r="C8" s="42">
        <f t="shared" si="0"/>
        <v>1</v>
      </c>
      <c r="D8" s="43">
        <f t="shared" si="1"/>
        <v>884.6</v>
      </c>
      <c r="E8" s="39"/>
      <c r="F8" s="18">
        <f t="shared" si="2"/>
        <v>0</v>
      </c>
    </row>
    <row r="9" spans="1:8" x14ac:dyDescent="0.4">
      <c r="A9" s="8">
        <v>10.1</v>
      </c>
      <c r="B9" s="8">
        <v>9.1999999999999993</v>
      </c>
      <c r="C9" s="42">
        <f t="shared" si="0"/>
        <v>1</v>
      </c>
      <c r="D9" s="43">
        <f t="shared" si="1"/>
        <v>10.1</v>
      </c>
      <c r="E9" s="37"/>
      <c r="F9" s="18">
        <f t="shared" si="2"/>
        <v>0</v>
      </c>
    </row>
    <row r="10" spans="1:8" x14ac:dyDescent="0.4">
      <c r="A10" s="8">
        <v>226.5</v>
      </c>
      <c r="B10" s="8">
        <v>228.1</v>
      </c>
      <c r="C10" s="42">
        <f t="shared" si="0"/>
        <v>1</v>
      </c>
      <c r="D10" s="43">
        <f t="shared" si="1"/>
        <v>226.5</v>
      </c>
      <c r="E10" s="37"/>
      <c r="F10" s="18">
        <f t="shared" si="2"/>
        <v>0</v>
      </c>
    </row>
    <row r="11" spans="1:8" x14ac:dyDescent="0.4">
      <c r="A11" s="8">
        <v>666.3</v>
      </c>
      <c r="B11" s="8">
        <v>668.5</v>
      </c>
      <c r="C11" s="42">
        <f t="shared" si="0"/>
        <v>1</v>
      </c>
      <c r="D11" s="43">
        <f t="shared" si="1"/>
        <v>666.3</v>
      </c>
      <c r="E11" s="37"/>
      <c r="F11" s="18">
        <f t="shared" si="2"/>
        <v>0</v>
      </c>
    </row>
    <row r="12" spans="1:8" x14ac:dyDescent="0.4">
      <c r="A12" s="8">
        <v>996.3</v>
      </c>
      <c r="B12" s="8">
        <v>998.5</v>
      </c>
      <c r="C12" s="42">
        <f t="shared" si="0"/>
        <v>1</v>
      </c>
      <c r="D12" s="43">
        <f t="shared" si="1"/>
        <v>996.3</v>
      </c>
      <c r="E12" s="37"/>
      <c r="F12" s="18">
        <f t="shared" si="2"/>
        <v>0</v>
      </c>
    </row>
    <row r="13" spans="1:8" x14ac:dyDescent="0.4">
      <c r="A13" s="8">
        <v>448.6</v>
      </c>
      <c r="B13" s="8">
        <v>449.1</v>
      </c>
      <c r="C13" s="42">
        <f t="shared" si="0"/>
        <v>1</v>
      </c>
      <c r="D13" s="43">
        <f t="shared" si="1"/>
        <v>448.6</v>
      </c>
      <c r="E13" s="37"/>
      <c r="F13" s="18">
        <f t="shared" si="2"/>
        <v>0</v>
      </c>
    </row>
    <row r="14" spans="1:8" x14ac:dyDescent="0.4">
      <c r="A14" s="8">
        <v>777</v>
      </c>
      <c r="B14" s="8">
        <v>778.9</v>
      </c>
      <c r="C14" s="42">
        <f t="shared" si="0"/>
        <v>1</v>
      </c>
      <c r="D14" s="43">
        <f t="shared" si="1"/>
        <v>777</v>
      </c>
      <c r="E14" s="37"/>
      <c r="F14" s="18">
        <f t="shared" si="2"/>
        <v>0</v>
      </c>
    </row>
    <row r="15" spans="1:8" x14ac:dyDescent="0.4">
      <c r="A15" s="8">
        <v>558.20000000000005</v>
      </c>
      <c r="B15" s="8">
        <v>559.20000000000005</v>
      </c>
      <c r="C15" s="42">
        <f t="shared" si="0"/>
        <v>1</v>
      </c>
      <c r="D15" s="43">
        <f t="shared" si="1"/>
        <v>558.20000000000005</v>
      </c>
      <c r="E15" s="37"/>
      <c r="F15" s="18">
        <f t="shared" si="2"/>
        <v>0</v>
      </c>
    </row>
    <row r="16" spans="1:8" x14ac:dyDescent="0.4">
      <c r="A16" s="8">
        <v>0.4</v>
      </c>
      <c r="B16" s="8">
        <v>0.3</v>
      </c>
      <c r="C16" s="42">
        <f t="shared" si="0"/>
        <v>1</v>
      </c>
      <c r="D16" s="43">
        <f t="shared" si="1"/>
        <v>0.4</v>
      </c>
      <c r="E16" s="37"/>
      <c r="F16" s="18">
        <f t="shared" si="2"/>
        <v>0</v>
      </c>
    </row>
    <row r="17" spans="1:6" x14ac:dyDescent="0.4">
      <c r="A17" s="8">
        <v>0.6</v>
      </c>
      <c r="B17" s="8">
        <v>0.1</v>
      </c>
      <c r="C17" s="42">
        <f t="shared" si="0"/>
        <v>1</v>
      </c>
      <c r="D17" s="43">
        <f t="shared" si="1"/>
        <v>0.6</v>
      </c>
      <c r="E17" s="37"/>
      <c r="F17" s="18">
        <f t="shared" si="2"/>
        <v>0</v>
      </c>
    </row>
    <row r="18" spans="1:6" x14ac:dyDescent="0.4">
      <c r="A18" s="8">
        <v>775.5</v>
      </c>
      <c r="B18" s="8">
        <v>778.1</v>
      </c>
      <c r="C18" s="42">
        <f t="shared" si="0"/>
        <v>1</v>
      </c>
      <c r="D18" s="43">
        <f t="shared" si="1"/>
        <v>775.5</v>
      </c>
      <c r="E18" s="37"/>
      <c r="F18" s="18">
        <f t="shared" si="2"/>
        <v>0</v>
      </c>
    </row>
    <row r="19" spans="1:6" x14ac:dyDescent="0.4">
      <c r="A19" s="8">
        <v>666.9</v>
      </c>
      <c r="B19" s="8">
        <v>668.8</v>
      </c>
      <c r="C19" s="42">
        <f t="shared" si="0"/>
        <v>1</v>
      </c>
      <c r="D19" s="43">
        <f t="shared" si="1"/>
        <v>666.9</v>
      </c>
      <c r="E19" s="37"/>
      <c r="F19" s="18">
        <f t="shared" si="2"/>
        <v>0</v>
      </c>
    </row>
    <row r="20" spans="1:6" x14ac:dyDescent="0.4">
      <c r="A20" s="8">
        <v>338</v>
      </c>
      <c r="B20" s="8">
        <v>339.3</v>
      </c>
      <c r="C20" s="42">
        <f t="shared" si="0"/>
        <v>1</v>
      </c>
      <c r="D20" s="43">
        <f t="shared" si="1"/>
        <v>338</v>
      </c>
      <c r="E20" s="37"/>
      <c r="F20" s="18">
        <f t="shared" si="2"/>
        <v>0</v>
      </c>
    </row>
    <row r="21" spans="1:6" x14ac:dyDescent="0.4">
      <c r="A21" s="8">
        <v>447.5</v>
      </c>
      <c r="B21" s="8">
        <v>448.9</v>
      </c>
      <c r="C21" s="42">
        <f t="shared" si="0"/>
        <v>1</v>
      </c>
      <c r="D21" s="43">
        <f t="shared" si="1"/>
        <v>447.5</v>
      </c>
      <c r="E21" s="37"/>
      <c r="F21" s="18">
        <f t="shared" si="2"/>
        <v>0</v>
      </c>
    </row>
    <row r="22" spans="1:6" x14ac:dyDescent="0.4">
      <c r="A22" s="8">
        <v>11.6</v>
      </c>
      <c r="B22" s="8">
        <v>10.8</v>
      </c>
      <c r="C22" s="42">
        <f t="shared" si="0"/>
        <v>1</v>
      </c>
      <c r="D22" s="43">
        <f t="shared" si="1"/>
        <v>11.6</v>
      </c>
      <c r="E22" s="37"/>
      <c r="F22" s="18">
        <f t="shared" si="2"/>
        <v>0</v>
      </c>
    </row>
    <row r="23" spans="1:6" x14ac:dyDescent="0.4">
      <c r="A23" s="8">
        <v>556</v>
      </c>
      <c r="B23" s="8">
        <v>557.70000000000005</v>
      </c>
      <c r="C23" s="42">
        <f t="shared" si="0"/>
        <v>1</v>
      </c>
      <c r="D23" s="43">
        <f t="shared" si="1"/>
        <v>556</v>
      </c>
      <c r="E23" s="37"/>
      <c r="F23" s="18">
        <f t="shared" si="2"/>
        <v>0</v>
      </c>
    </row>
    <row r="24" spans="1:6" x14ac:dyDescent="0.4">
      <c r="A24" s="8">
        <v>228.1</v>
      </c>
      <c r="B24" s="8">
        <v>228.3</v>
      </c>
      <c r="C24" s="42">
        <f t="shared" si="0"/>
        <v>1</v>
      </c>
      <c r="D24" s="43">
        <f t="shared" si="1"/>
        <v>228.1</v>
      </c>
      <c r="E24" s="37"/>
      <c r="F24" s="18">
        <f t="shared" si="2"/>
        <v>0</v>
      </c>
    </row>
    <row r="25" spans="1:6" x14ac:dyDescent="0.4">
      <c r="A25" s="8">
        <v>995.8</v>
      </c>
      <c r="B25" s="8">
        <v>998</v>
      </c>
      <c r="C25" s="42">
        <f t="shared" si="0"/>
        <v>1</v>
      </c>
      <c r="D25" s="43">
        <f t="shared" si="1"/>
        <v>995.8</v>
      </c>
      <c r="E25" s="37"/>
      <c r="F25" s="18">
        <f t="shared" si="2"/>
        <v>0</v>
      </c>
    </row>
    <row r="26" spans="1:6" x14ac:dyDescent="0.4">
      <c r="A26" s="8">
        <v>887.6</v>
      </c>
      <c r="B26" s="8">
        <v>888.8</v>
      </c>
      <c r="C26" s="42">
        <f t="shared" si="0"/>
        <v>1</v>
      </c>
      <c r="D26" s="43">
        <f t="shared" si="1"/>
        <v>887.6</v>
      </c>
      <c r="E26" s="37"/>
      <c r="F26" s="18">
        <f t="shared" si="2"/>
        <v>0</v>
      </c>
    </row>
    <row r="27" spans="1:6" x14ac:dyDescent="0.4">
      <c r="A27" s="8">
        <v>120.2</v>
      </c>
      <c r="B27" s="8">
        <v>119.6</v>
      </c>
      <c r="C27" s="42">
        <f t="shared" si="0"/>
        <v>1</v>
      </c>
      <c r="D27" s="43">
        <f t="shared" si="1"/>
        <v>120.2</v>
      </c>
      <c r="E27" s="37"/>
      <c r="F27" s="18">
        <f t="shared" si="2"/>
        <v>0</v>
      </c>
    </row>
    <row r="28" spans="1:6" x14ac:dyDescent="0.4">
      <c r="A28" s="8">
        <v>0.3</v>
      </c>
      <c r="B28" s="8">
        <v>0.3</v>
      </c>
      <c r="C28" s="42">
        <f t="shared" si="0"/>
        <v>1</v>
      </c>
      <c r="D28" s="43">
        <f t="shared" si="1"/>
        <v>0.3</v>
      </c>
      <c r="E28" s="37"/>
      <c r="F28" s="18">
        <f t="shared" si="2"/>
        <v>0</v>
      </c>
    </row>
    <row r="29" spans="1:6" x14ac:dyDescent="0.4">
      <c r="A29" s="8">
        <v>0.3</v>
      </c>
      <c r="B29" s="8">
        <v>0.6</v>
      </c>
      <c r="C29" s="42">
        <f t="shared" si="0"/>
        <v>1</v>
      </c>
      <c r="D29" s="43">
        <f t="shared" si="1"/>
        <v>0.3</v>
      </c>
      <c r="E29" s="37"/>
      <c r="F29" s="18">
        <f t="shared" si="2"/>
        <v>0</v>
      </c>
    </row>
    <row r="30" spans="1:6" x14ac:dyDescent="0.4">
      <c r="A30" s="8">
        <v>556.79999999999995</v>
      </c>
      <c r="B30" s="8">
        <v>557.6</v>
      </c>
      <c r="C30" s="42">
        <f t="shared" si="0"/>
        <v>1</v>
      </c>
      <c r="D30" s="43">
        <f t="shared" si="1"/>
        <v>556.79999999999995</v>
      </c>
      <c r="E30" s="37"/>
      <c r="F30" s="18">
        <f t="shared" si="2"/>
        <v>0</v>
      </c>
    </row>
    <row r="31" spans="1:6" x14ac:dyDescent="0.4">
      <c r="A31" s="8">
        <v>339.1</v>
      </c>
      <c r="B31" s="8">
        <v>339.3</v>
      </c>
      <c r="C31" s="42">
        <f t="shared" si="0"/>
        <v>1</v>
      </c>
      <c r="D31" s="43">
        <f t="shared" si="1"/>
        <v>339.1</v>
      </c>
      <c r="E31" s="37"/>
      <c r="F31" s="18">
        <f t="shared" si="2"/>
        <v>0</v>
      </c>
    </row>
    <row r="32" spans="1:6" x14ac:dyDescent="0.4">
      <c r="A32" s="8">
        <v>887.2</v>
      </c>
      <c r="B32" s="8">
        <v>888</v>
      </c>
      <c r="C32" s="42">
        <f t="shared" si="0"/>
        <v>1</v>
      </c>
      <c r="D32" s="43">
        <f t="shared" si="1"/>
        <v>887.2</v>
      </c>
      <c r="E32" s="37"/>
      <c r="F32" s="18">
        <f t="shared" si="2"/>
        <v>0</v>
      </c>
    </row>
    <row r="33" spans="1:6" x14ac:dyDescent="0.4">
      <c r="A33" s="8">
        <v>999</v>
      </c>
      <c r="B33" s="8">
        <v>998.5</v>
      </c>
      <c r="C33" s="42">
        <f t="shared" si="0"/>
        <v>1</v>
      </c>
      <c r="D33" s="43">
        <f t="shared" si="1"/>
        <v>999</v>
      </c>
      <c r="E33" s="37"/>
      <c r="F33" s="18">
        <f t="shared" si="2"/>
        <v>0</v>
      </c>
    </row>
    <row r="34" spans="1:6" x14ac:dyDescent="0.4">
      <c r="A34" s="8">
        <v>779</v>
      </c>
      <c r="B34" s="8">
        <v>778.9</v>
      </c>
      <c r="C34" s="42">
        <f t="shared" si="0"/>
        <v>1</v>
      </c>
      <c r="D34" s="43">
        <f t="shared" si="1"/>
        <v>779</v>
      </c>
      <c r="E34" s="37"/>
      <c r="F34" s="18">
        <f t="shared" si="2"/>
        <v>0</v>
      </c>
    </row>
    <row r="35" spans="1:6" x14ac:dyDescent="0.4">
      <c r="A35" s="8">
        <v>11.1</v>
      </c>
      <c r="B35" s="8">
        <v>10.199999999999999</v>
      </c>
      <c r="C35" s="42">
        <f t="shared" si="0"/>
        <v>1</v>
      </c>
      <c r="D35" s="43">
        <f t="shared" si="1"/>
        <v>11.1</v>
      </c>
      <c r="E35" s="37"/>
      <c r="F35" s="18">
        <f t="shared" si="2"/>
        <v>0</v>
      </c>
    </row>
    <row r="36" spans="1:6" x14ac:dyDescent="0.4">
      <c r="A36" s="8">
        <v>118.3</v>
      </c>
      <c r="B36" s="8">
        <v>117.6</v>
      </c>
      <c r="C36" s="42">
        <f t="shared" si="0"/>
        <v>1</v>
      </c>
      <c r="D36" s="43">
        <f t="shared" si="1"/>
        <v>118.3</v>
      </c>
      <c r="E36" s="37"/>
      <c r="F36" s="18">
        <f t="shared" si="2"/>
        <v>0</v>
      </c>
    </row>
    <row r="37" spans="1:6" x14ac:dyDescent="0.4">
      <c r="A37" s="8">
        <v>229.2</v>
      </c>
      <c r="B37" s="8">
        <v>228.9</v>
      </c>
      <c r="C37" s="42">
        <f t="shared" si="0"/>
        <v>1</v>
      </c>
      <c r="D37" s="43">
        <f t="shared" si="1"/>
        <v>229.2</v>
      </c>
      <c r="E37" s="37"/>
      <c r="F37" s="18">
        <f t="shared" si="2"/>
        <v>0</v>
      </c>
    </row>
    <row r="38" spans="1:6" x14ac:dyDescent="0.4">
      <c r="A38" s="8">
        <v>669.1</v>
      </c>
      <c r="B38" s="8">
        <v>668.4</v>
      </c>
      <c r="C38" s="42">
        <f t="shared" si="0"/>
        <v>1</v>
      </c>
      <c r="D38" s="43">
        <f t="shared" si="1"/>
        <v>669.1</v>
      </c>
      <c r="E38" s="37"/>
      <c r="F38" s="18">
        <f t="shared" si="2"/>
        <v>0</v>
      </c>
    </row>
    <row r="39" spans="1:6" x14ac:dyDescent="0.4">
      <c r="A39" s="8">
        <v>448.9</v>
      </c>
      <c r="B39" s="8">
        <v>449.2</v>
      </c>
      <c r="C39" s="42">
        <f t="shared" si="0"/>
        <v>1</v>
      </c>
      <c r="D39" s="43">
        <f t="shared" si="1"/>
        <v>448.9</v>
      </c>
      <c r="E39" s="37"/>
      <c r="F39" s="18">
        <f t="shared" si="2"/>
        <v>0</v>
      </c>
    </row>
    <row r="40" spans="1:6" x14ac:dyDescent="0.4">
      <c r="A40" s="12">
        <v>0.5</v>
      </c>
      <c r="B40" s="12">
        <v>0.2</v>
      </c>
      <c r="C40" s="44">
        <f t="shared" si="0"/>
        <v>1</v>
      </c>
      <c r="D40" s="45">
        <f t="shared" si="1"/>
        <v>0.5</v>
      </c>
      <c r="E40" s="37"/>
      <c r="F40" s="19">
        <f t="shared" si="2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4.Start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4.Clear">
                <anchor moveWithCells="1" sizeWithCells="1">
                  <from>
                    <xdr:col>4</xdr:col>
                    <xdr:colOff>676275</xdr:colOff>
                    <xdr:row>1</xdr:row>
                    <xdr:rowOff>19050</xdr:rowOff>
                  </from>
                  <to>
                    <xdr:col>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8B03-CEED-4F5E-B8FE-F4D662DB0234}">
  <sheetPr codeName="Sheet6"/>
  <dimension ref="A1:H39"/>
  <sheetViews>
    <sheetView workbookViewId="0">
      <selection activeCell="E4" sqref="E4:E7"/>
    </sheetView>
  </sheetViews>
  <sheetFormatPr defaultRowHeight="18.75" x14ac:dyDescent="0.4"/>
  <sheetData>
    <row r="1" spans="1:8" x14ac:dyDescent="0.4">
      <c r="A1" t="s">
        <v>12</v>
      </c>
    </row>
    <row r="2" spans="1:8" x14ac:dyDescent="0.4">
      <c r="H2" t="s">
        <v>13</v>
      </c>
    </row>
    <row r="3" spans="1:8" x14ac:dyDescent="0.4">
      <c r="A3" s="62" t="s">
        <v>14</v>
      </c>
      <c r="B3" s="62" t="s">
        <v>15</v>
      </c>
      <c r="C3" s="59" t="s">
        <v>16</v>
      </c>
      <c r="D3" s="60"/>
      <c r="E3" s="62" t="s">
        <v>17</v>
      </c>
      <c r="F3" s="62" t="s">
        <v>18</v>
      </c>
    </row>
    <row r="4" spans="1:8" x14ac:dyDescent="0.4">
      <c r="A4" s="4">
        <v>0.2</v>
      </c>
      <c r="B4" s="4">
        <v>0.1</v>
      </c>
      <c r="C4" s="40">
        <v>1</v>
      </c>
      <c r="D4" s="41">
        <f>A4^1</f>
        <v>0.2</v>
      </c>
      <c r="E4" s="13">
        <f t="array" ref="E4:E7">_xll.WDgels(36,2,C4:D39,B4:B39)</f>
        <v>-0.26232307377411718</v>
      </c>
      <c r="F4" s="17">
        <f>E$4+E$5*A4</f>
        <v>-6.1899710170026323E-2</v>
      </c>
    </row>
    <row r="5" spans="1:8" x14ac:dyDescent="0.4">
      <c r="A5" s="8">
        <v>337.4</v>
      </c>
      <c r="B5" s="8">
        <v>338.8</v>
      </c>
      <c r="C5" s="42">
        <f t="shared" ref="C5:C39" si="0">A5^0</f>
        <v>1</v>
      </c>
      <c r="D5" s="43">
        <f t="shared" ref="D5:D39" si="1">A5^1</f>
        <v>337.4</v>
      </c>
      <c r="E5" s="14">
        <v>1.0021168180204543</v>
      </c>
      <c r="F5" s="18">
        <f t="shared" ref="F5:F39" si="2">E$4+E$5*A5</f>
        <v>337.85189132632718</v>
      </c>
    </row>
    <row r="6" spans="1:8" x14ac:dyDescent="0.4">
      <c r="A6" s="8">
        <v>118.2</v>
      </c>
      <c r="B6" s="8">
        <v>118.1</v>
      </c>
      <c r="C6" s="42">
        <f t="shared" si="0"/>
        <v>1</v>
      </c>
      <c r="D6" s="43">
        <f t="shared" si="1"/>
        <v>118.2</v>
      </c>
      <c r="E6" s="36">
        <v>26.617398529422641</v>
      </c>
      <c r="F6" s="18">
        <f t="shared" si="2"/>
        <v>118.18788481624358</v>
      </c>
    </row>
    <row r="7" spans="1:8" x14ac:dyDescent="0.4">
      <c r="A7" s="8">
        <v>884.6</v>
      </c>
      <c r="B7" s="8">
        <v>888</v>
      </c>
      <c r="C7" s="42">
        <f t="shared" si="0"/>
        <v>1</v>
      </c>
      <c r="D7" s="43">
        <f t="shared" si="1"/>
        <v>884.6</v>
      </c>
      <c r="E7" s="16">
        <v>0</v>
      </c>
      <c r="F7" s="18">
        <f t="shared" si="2"/>
        <v>886.2102141471197</v>
      </c>
    </row>
    <row r="8" spans="1:8" x14ac:dyDescent="0.4">
      <c r="A8" s="8">
        <v>10.1</v>
      </c>
      <c r="B8" s="8">
        <v>9.1999999999999993</v>
      </c>
      <c r="C8" s="42">
        <f t="shared" si="0"/>
        <v>1</v>
      </c>
      <c r="D8" s="43">
        <f t="shared" si="1"/>
        <v>10.1</v>
      </c>
      <c r="E8" s="37"/>
      <c r="F8" s="18">
        <f t="shared" si="2"/>
        <v>9.8590567882324702</v>
      </c>
    </row>
    <row r="9" spans="1:8" x14ac:dyDescent="0.4">
      <c r="A9" s="8">
        <v>226.5</v>
      </c>
      <c r="B9" s="8">
        <v>228.1</v>
      </c>
      <c r="C9" s="42">
        <f t="shared" si="0"/>
        <v>1</v>
      </c>
      <c r="D9" s="43">
        <f t="shared" si="1"/>
        <v>226.5</v>
      </c>
      <c r="E9" s="37"/>
      <c r="F9" s="18">
        <f t="shared" si="2"/>
        <v>226.71713620785877</v>
      </c>
    </row>
    <row r="10" spans="1:8" x14ac:dyDescent="0.4">
      <c r="A10" s="8">
        <v>666.3</v>
      </c>
      <c r="B10" s="8">
        <v>668.5</v>
      </c>
      <c r="C10" s="42">
        <f t="shared" si="0"/>
        <v>1</v>
      </c>
      <c r="D10" s="43">
        <f t="shared" si="1"/>
        <v>666.3</v>
      </c>
      <c r="E10" s="37"/>
      <c r="F10" s="18">
        <f t="shared" si="2"/>
        <v>667.44811277325448</v>
      </c>
    </row>
    <row r="11" spans="1:8" x14ac:dyDescent="0.4">
      <c r="A11" s="8">
        <v>996.3</v>
      </c>
      <c r="B11" s="8">
        <v>998.5</v>
      </c>
      <c r="C11" s="42">
        <f t="shared" si="0"/>
        <v>1</v>
      </c>
      <c r="D11" s="43">
        <f t="shared" si="1"/>
        <v>996.3</v>
      </c>
      <c r="E11" s="37"/>
      <c r="F11" s="18">
        <f t="shared" si="2"/>
        <v>998.14666272000443</v>
      </c>
    </row>
    <row r="12" spans="1:8" x14ac:dyDescent="0.4">
      <c r="A12" s="8">
        <v>448.6</v>
      </c>
      <c r="B12" s="8">
        <v>449.1</v>
      </c>
      <c r="C12" s="42">
        <f t="shared" si="0"/>
        <v>1</v>
      </c>
      <c r="D12" s="43">
        <f t="shared" si="1"/>
        <v>448.6</v>
      </c>
      <c r="E12" s="37"/>
      <c r="F12" s="18">
        <f t="shared" si="2"/>
        <v>449.28728149020174</v>
      </c>
    </row>
    <row r="13" spans="1:8" x14ac:dyDescent="0.4">
      <c r="A13" s="8">
        <v>777</v>
      </c>
      <c r="B13" s="8">
        <v>778.9</v>
      </c>
      <c r="C13" s="42">
        <f t="shared" si="0"/>
        <v>1</v>
      </c>
      <c r="D13" s="43">
        <f t="shared" si="1"/>
        <v>777</v>
      </c>
      <c r="E13" s="37"/>
      <c r="F13" s="18">
        <f t="shared" si="2"/>
        <v>778.38244452811887</v>
      </c>
    </row>
    <row r="14" spans="1:8" x14ac:dyDescent="0.4">
      <c r="A14" s="8">
        <v>558.20000000000005</v>
      </c>
      <c r="B14" s="8">
        <v>559.20000000000005</v>
      </c>
      <c r="C14" s="42">
        <f t="shared" si="0"/>
        <v>1</v>
      </c>
      <c r="D14" s="43">
        <f t="shared" si="1"/>
        <v>558.20000000000005</v>
      </c>
      <c r="E14" s="37"/>
      <c r="F14" s="18">
        <f t="shared" si="2"/>
        <v>559.11928474524348</v>
      </c>
    </row>
    <row r="15" spans="1:8" x14ac:dyDescent="0.4">
      <c r="A15" s="8">
        <v>0.4</v>
      </c>
      <c r="B15" s="8">
        <v>0.3</v>
      </c>
      <c r="C15" s="42">
        <f t="shared" si="0"/>
        <v>1</v>
      </c>
      <c r="D15" s="43">
        <f t="shared" si="1"/>
        <v>0.4</v>
      </c>
      <c r="E15" s="37"/>
      <c r="F15" s="18">
        <f t="shared" si="2"/>
        <v>0.13852365343406453</v>
      </c>
    </row>
    <row r="16" spans="1:8" x14ac:dyDescent="0.4">
      <c r="A16" s="8">
        <v>0.6</v>
      </c>
      <c r="B16" s="8">
        <v>0.1</v>
      </c>
      <c r="C16" s="42">
        <f t="shared" si="0"/>
        <v>1</v>
      </c>
      <c r="D16" s="43">
        <f t="shared" si="1"/>
        <v>0.6</v>
      </c>
      <c r="E16" s="37"/>
      <c r="F16" s="18">
        <f t="shared" si="2"/>
        <v>0.33894701703815538</v>
      </c>
    </row>
    <row r="17" spans="1:6" x14ac:dyDescent="0.4">
      <c r="A17" s="8">
        <v>775.5</v>
      </c>
      <c r="B17" s="8">
        <v>778.1</v>
      </c>
      <c r="C17" s="42">
        <f t="shared" si="0"/>
        <v>1</v>
      </c>
      <c r="D17" s="43">
        <f t="shared" si="1"/>
        <v>775.5</v>
      </c>
      <c r="E17" s="37"/>
      <c r="F17" s="18">
        <f t="shared" si="2"/>
        <v>776.87926930108813</v>
      </c>
    </row>
    <row r="18" spans="1:6" x14ac:dyDescent="0.4">
      <c r="A18" s="8">
        <v>666.9</v>
      </c>
      <c r="B18" s="8">
        <v>668.8</v>
      </c>
      <c r="C18" s="42">
        <f t="shared" si="0"/>
        <v>1</v>
      </c>
      <c r="D18" s="43">
        <f t="shared" si="1"/>
        <v>666.9</v>
      </c>
      <c r="E18" s="37"/>
      <c r="F18" s="18">
        <f t="shared" si="2"/>
        <v>668.04938286406673</v>
      </c>
    </row>
    <row r="19" spans="1:6" x14ac:dyDescent="0.4">
      <c r="A19" s="8">
        <v>338</v>
      </c>
      <c r="B19" s="8">
        <v>339.3</v>
      </c>
      <c r="C19" s="42">
        <f t="shared" si="0"/>
        <v>1</v>
      </c>
      <c r="D19" s="43">
        <f t="shared" si="1"/>
        <v>338</v>
      </c>
      <c r="E19" s="37"/>
      <c r="F19" s="18">
        <f t="shared" si="2"/>
        <v>338.45316141713943</v>
      </c>
    </row>
    <row r="20" spans="1:6" x14ac:dyDescent="0.4">
      <c r="A20" s="8">
        <v>447.5</v>
      </c>
      <c r="B20" s="8">
        <v>448.9</v>
      </c>
      <c r="C20" s="42">
        <f t="shared" si="0"/>
        <v>1</v>
      </c>
      <c r="D20" s="43">
        <f t="shared" si="1"/>
        <v>447.5</v>
      </c>
      <c r="E20" s="37"/>
      <c r="F20" s="18">
        <f t="shared" si="2"/>
        <v>448.1849529903792</v>
      </c>
    </row>
    <row r="21" spans="1:6" x14ac:dyDescent="0.4">
      <c r="A21" s="8">
        <v>11.6</v>
      </c>
      <c r="B21" s="8">
        <v>10.8</v>
      </c>
      <c r="C21" s="42">
        <f t="shared" si="0"/>
        <v>1</v>
      </c>
      <c r="D21" s="43">
        <f t="shared" si="1"/>
        <v>11.6</v>
      </c>
      <c r="E21" s="37"/>
      <c r="F21" s="18">
        <f t="shared" si="2"/>
        <v>11.362232015263151</v>
      </c>
    </row>
    <row r="22" spans="1:6" x14ac:dyDescent="0.4">
      <c r="A22" s="8">
        <v>556</v>
      </c>
      <c r="B22" s="8">
        <v>557.70000000000005</v>
      </c>
      <c r="C22" s="42">
        <f t="shared" si="0"/>
        <v>1</v>
      </c>
      <c r="D22" s="43">
        <f t="shared" si="1"/>
        <v>556</v>
      </c>
      <c r="E22" s="37"/>
      <c r="F22" s="18">
        <f t="shared" si="2"/>
        <v>556.91462774559841</v>
      </c>
    </row>
    <row r="23" spans="1:6" x14ac:dyDescent="0.4">
      <c r="A23" s="8">
        <v>228.1</v>
      </c>
      <c r="B23" s="8">
        <v>228.3</v>
      </c>
      <c r="C23" s="42">
        <f t="shared" si="0"/>
        <v>1</v>
      </c>
      <c r="D23" s="43">
        <f t="shared" si="1"/>
        <v>228.1</v>
      </c>
      <c r="E23" s="37"/>
      <c r="F23" s="18">
        <f t="shared" si="2"/>
        <v>228.32052311669148</v>
      </c>
    </row>
    <row r="24" spans="1:6" x14ac:dyDescent="0.4">
      <c r="A24" s="8">
        <v>995.8</v>
      </c>
      <c r="B24" s="8">
        <v>998</v>
      </c>
      <c r="C24" s="42">
        <f t="shared" si="0"/>
        <v>1</v>
      </c>
      <c r="D24" s="43">
        <f t="shared" si="1"/>
        <v>995.8</v>
      </c>
      <c r="E24" s="37"/>
      <c r="F24" s="18">
        <f t="shared" si="2"/>
        <v>997.64560431099414</v>
      </c>
    </row>
    <row r="25" spans="1:6" x14ac:dyDescent="0.4">
      <c r="A25" s="8">
        <v>887.6</v>
      </c>
      <c r="B25" s="8">
        <v>888.8</v>
      </c>
      <c r="C25" s="42">
        <f t="shared" si="0"/>
        <v>1</v>
      </c>
      <c r="D25" s="43">
        <f t="shared" si="1"/>
        <v>887.6</v>
      </c>
      <c r="E25" s="37"/>
      <c r="F25" s="18">
        <f t="shared" si="2"/>
        <v>889.21656460118106</v>
      </c>
    </row>
    <row r="26" spans="1:6" x14ac:dyDescent="0.4">
      <c r="A26" s="8">
        <v>120.2</v>
      </c>
      <c r="B26" s="8">
        <v>119.6</v>
      </c>
      <c r="C26" s="42">
        <f t="shared" si="0"/>
        <v>1</v>
      </c>
      <c r="D26" s="43">
        <f t="shared" si="1"/>
        <v>120.2</v>
      </c>
      <c r="E26" s="37"/>
      <c r="F26" s="18">
        <f t="shared" si="2"/>
        <v>120.19211845228449</v>
      </c>
    </row>
    <row r="27" spans="1:6" x14ac:dyDescent="0.4">
      <c r="A27" s="8">
        <v>0.3</v>
      </c>
      <c r="B27" s="8">
        <v>0.3</v>
      </c>
      <c r="C27" s="42">
        <f t="shared" si="0"/>
        <v>1</v>
      </c>
      <c r="D27" s="43">
        <f t="shared" si="1"/>
        <v>0.3</v>
      </c>
      <c r="E27" s="37"/>
      <c r="F27" s="18">
        <f t="shared" si="2"/>
        <v>3.8311971632019104E-2</v>
      </c>
    </row>
    <row r="28" spans="1:6" x14ac:dyDescent="0.4">
      <c r="A28" s="8">
        <v>0.3</v>
      </c>
      <c r="B28" s="8">
        <v>0.6</v>
      </c>
      <c r="C28" s="42">
        <f t="shared" si="0"/>
        <v>1</v>
      </c>
      <c r="D28" s="43">
        <f t="shared" si="1"/>
        <v>0.3</v>
      </c>
      <c r="E28" s="37"/>
      <c r="F28" s="18">
        <f t="shared" si="2"/>
        <v>3.8311971632019104E-2</v>
      </c>
    </row>
    <row r="29" spans="1:6" x14ac:dyDescent="0.4">
      <c r="A29" s="8">
        <v>556.79999999999995</v>
      </c>
      <c r="B29" s="8">
        <v>557.6</v>
      </c>
      <c r="C29" s="42">
        <f t="shared" si="0"/>
        <v>1</v>
      </c>
      <c r="D29" s="43">
        <f t="shared" si="1"/>
        <v>556.79999999999995</v>
      </c>
      <c r="E29" s="37"/>
      <c r="F29" s="18">
        <f t="shared" si="2"/>
        <v>557.7163212000147</v>
      </c>
    </row>
    <row r="30" spans="1:6" x14ac:dyDescent="0.4">
      <c r="A30" s="8">
        <v>339.1</v>
      </c>
      <c r="B30" s="8">
        <v>339.3</v>
      </c>
      <c r="C30" s="42">
        <f t="shared" si="0"/>
        <v>1</v>
      </c>
      <c r="D30" s="43">
        <f t="shared" si="1"/>
        <v>339.1</v>
      </c>
      <c r="E30" s="37"/>
      <c r="F30" s="18">
        <f t="shared" si="2"/>
        <v>339.55548991696196</v>
      </c>
    </row>
    <row r="31" spans="1:6" x14ac:dyDescent="0.4">
      <c r="A31" s="8">
        <v>887.2</v>
      </c>
      <c r="B31" s="8">
        <v>888</v>
      </c>
      <c r="C31" s="42">
        <f t="shared" si="0"/>
        <v>1</v>
      </c>
      <c r="D31" s="43">
        <f t="shared" si="1"/>
        <v>887.2</v>
      </c>
      <c r="E31" s="37"/>
      <c r="F31" s="18">
        <f t="shared" si="2"/>
        <v>888.81571787397297</v>
      </c>
    </row>
    <row r="32" spans="1:6" x14ac:dyDescent="0.4">
      <c r="A32" s="8">
        <v>999</v>
      </c>
      <c r="B32" s="8">
        <v>998.5</v>
      </c>
      <c r="C32" s="42">
        <f t="shared" si="0"/>
        <v>1</v>
      </c>
      <c r="D32" s="43">
        <f t="shared" si="1"/>
        <v>999</v>
      </c>
      <c r="E32" s="37"/>
      <c r="F32" s="18">
        <f t="shared" si="2"/>
        <v>1000.8523781286597</v>
      </c>
    </row>
    <row r="33" spans="1:6" x14ac:dyDescent="0.4">
      <c r="A33" s="8">
        <v>779</v>
      </c>
      <c r="B33" s="8">
        <v>778.9</v>
      </c>
      <c r="C33" s="42">
        <f t="shared" si="0"/>
        <v>1</v>
      </c>
      <c r="D33" s="43">
        <f t="shared" si="1"/>
        <v>779</v>
      </c>
      <c r="E33" s="37"/>
      <c r="F33" s="18">
        <f t="shared" si="2"/>
        <v>780.38667816415978</v>
      </c>
    </row>
    <row r="34" spans="1:6" x14ac:dyDescent="0.4">
      <c r="A34" s="8">
        <v>11.1</v>
      </c>
      <c r="B34" s="8">
        <v>10.199999999999999</v>
      </c>
      <c r="C34" s="42">
        <f t="shared" si="0"/>
        <v>1</v>
      </c>
      <c r="D34" s="43">
        <f t="shared" si="1"/>
        <v>11.1</v>
      </c>
      <c r="E34" s="37"/>
      <c r="F34" s="18">
        <f t="shared" si="2"/>
        <v>10.861173606252924</v>
      </c>
    </row>
    <row r="35" spans="1:6" x14ac:dyDescent="0.4">
      <c r="A35" s="8">
        <v>118.3</v>
      </c>
      <c r="B35" s="8">
        <v>117.6</v>
      </c>
      <c r="C35" s="42">
        <f t="shared" si="0"/>
        <v>1</v>
      </c>
      <c r="D35" s="43">
        <f t="shared" si="1"/>
        <v>118.3</v>
      </c>
      <c r="E35" s="37"/>
      <c r="F35" s="18">
        <f t="shared" si="2"/>
        <v>118.28809649804562</v>
      </c>
    </row>
    <row r="36" spans="1:6" x14ac:dyDescent="0.4">
      <c r="A36" s="8">
        <v>229.2</v>
      </c>
      <c r="B36" s="8">
        <v>228.9</v>
      </c>
      <c r="C36" s="42">
        <f t="shared" si="0"/>
        <v>1</v>
      </c>
      <c r="D36" s="43">
        <f t="shared" si="1"/>
        <v>229.2</v>
      </c>
      <c r="E36" s="37"/>
      <c r="F36" s="18">
        <f t="shared" si="2"/>
        <v>229.42285161651398</v>
      </c>
    </row>
    <row r="37" spans="1:6" x14ac:dyDescent="0.4">
      <c r="A37" s="8">
        <v>669.1</v>
      </c>
      <c r="B37" s="8">
        <v>668.4</v>
      </c>
      <c r="C37" s="42">
        <f t="shared" si="0"/>
        <v>1</v>
      </c>
      <c r="D37" s="43">
        <f t="shared" si="1"/>
        <v>669.1</v>
      </c>
      <c r="E37" s="37"/>
      <c r="F37" s="18">
        <f t="shared" si="2"/>
        <v>670.2540398637118</v>
      </c>
    </row>
    <row r="38" spans="1:6" x14ac:dyDescent="0.4">
      <c r="A38" s="8">
        <v>448.9</v>
      </c>
      <c r="B38" s="8">
        <v>449.2</v>
      </c>
      <c r="C38" s="42">
        <f t="shared" si="0"/>
        <v>1</v>
      </c>
      <c r="D38" s="43">
        <f t="shared" si="1"/>
        <v>448.9</v>
      </c>
      <c r="E38" s="37"/>
      <c r="F38" s="18">
        <f t="shared" si="2"/>
        <v>449.5879165356078</v>
      </c>
    </row>
    <row r="39" spans="1:6" x14ac:dyDescent="0.4">
      <c r="A39" s="12">
        <v>0.5</v>
      </c>
      <c r="B39" s="12">
        <v>0.2</v>
      </c>
      <c r="C39" s="44">
        <f t="shared" si="0"/>
        <v>1</v>
      </c>
      <c r="D39" s="45">
        <f t="shared" si="1"/>
        <v>0.5</v>
      </c>
      <c r="E39" s="37"/>
      <c r="F39" s="19">
        <f t="shared" si="2"/>
        <v>0.23873533523610996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FB894-2BBF-4AD9-9568-308BD2045E0E}">
  <sheetPr codeName="Sheet7"/>
  <dimension ref="A1:E12"/>
  <sheetViews>
    <sheetView workbookViewId="0"/>
  </sheetViews>
  <sheetFormatPr defaultRowHeight="18.75" x14ac:dyDescent="0.4"/>
  <cols>
    <col min="2" max="2" width="12.625" customWidth="1"/>
    <col min="3" max="3" width="4.625" customWidth="1"/>
    <col min="5" max="5" width="12.625" customWidth="1"/>
  </cols>
  <sheetData>
    <row r="1" spans="1:5" x14ac:dyDescent="0.4">
      <c r="A1" t="s">
        <v>19</v>
      </c>
    </row>
    <row r="4" spans="1:5" x14ac:dyDescent="0.4">
      <c r="A4" s="62" t="s">
        <v>20</v>
      </c>
      <c r="B4" s="62" t="s">
        <v>21</v>
      </c>
      <c r="D4" s="62" t="s">
        <v>22</v>
      </c>
      <c r="E4" s="62" t="s">
        <v>23</v>
      </c>
    </row>
    <row r="5" spans="1:5" x14ac:dyDescent="0.4">
      <c r="A5" s="4">
        <v>1.5</v>
      </c>
      <c r="B5" s="4">
        <f>LN(A5)</f>
        <v>0.40546510810816438</v>
      </c>
      <c r="D5" s="4">
        <v>1.55</v>
      </c>
      <c r="E5" s="13"/>
    </row>
    <row r="6" spans="1:5" x14ac:dyDescent="0.4">
      <c r="A6" s="8">
        <v>1.6</v>
      </c>
      <c r="B6" s="8">
        <f t="shared" ref="B6:B12" si="0">LN(A6)</f>
        <v>0.47000362924573563</v>
      </c>
      <c r="D6" s="8">
        <v>1.65</v>
      </c>
      <c r="E6" s="14"/>
    </row>
    <row r="7" spans="1:5" x14ac:dyDescent="0.4">
      <c r="A7" s="8">
        <v>1.7</v>
      </c>
      <c r="B7" s="8">
        <f t="shared" si="0"/>
        <v>0.53062825106217038</v>
      </c>
      <c r="D7" s="8">
        <v>1.75</v>
      </c>
      <c r="E7" s="14"/>
    </row>
    <row r="8" spans="1:5" x14ac:dyDescent="0.4">
      <c r="A8" s="8">
        <v>1.8</v>
      </c>
      <c r="B8" s="8">
        <f t="shared" si="0"/>
        <v>0.58778666490211906</v>
      </c>
      <c r="D8" s="8">
        <v>1.85</v>
      </c>
      <c r="E8" s="14"/>
    </row>
    <row r="9" spans="1:5" x14ac:dyDescent="0.4">
      <c r="A9" s="8">
        <v>1.9</v>
      </c>
      <c r="B9" s="8">
        <f t="shared" si="0"/>
        <v>0.64185388617239469</v>
      </c>
      <c r="D9" s="8">
        <v>1.95</v>
      </c>
      <c r="E9" s="14"/>
    </row>
    <row r="10" spans="1:5" x14ac:dyDescent="0.4">
      <c r="A10" s="8">
        <v>2</v>
      </c>
      <c r="B10" s="8">
        <f t="shared" si="0"/>
        <v>0.69314718055994529</v>
      </c>
      <c r="D10" s="8">
        <v>2.0499999999999998</v>
      </c>
      <c r="E10" s="14"/>
    </row>
    <row r="11" spans="1:5" x14ac:dyDescent="0.4">
      <c r="A11" s="8">
        <v>2.1</v>
      </c>
      <c r="B11" s="8">
        <f t="shared" si="0"/>
        <v>0.74193734472937733</v>
      </c>
      <c r="D11" s="12">
        <v>2.15</v>
      </c>
      <c r="E11" s="15"/>
    </row>
    <row r="12" spans="1:5" x14ac:dyDescent="0.4">
      <c r="A12" s="12">
        <v>2.2000000000000002</v>
      </c>
      <c r="B12" s="12">
        <f t="shared" si="0"/>
        <v>0.78845736036427028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5.Start">
                <anchor moveWithCells="1" sizeWithCells="1">
                  <from>
                    <xdr:col>1</xdr:col>
                    <xdr:colOff>866775</xdr:colOff>
                    <xdr:row>1</xdr:row>
                    <xdr:rowOff>9525</xdr:rowOff>
                  </from>
                  <to>
                    <xdr:col>3</xdr:col>
                    <xdr:colOff>228600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5.Clear">
                <anchor moveWithCells="1" sizeWithCells="1">
                  <from>
                    <xdr:col>4</xdr:col>
                    <xdr:colOff>228600</xdr:colOff>
                    <xdr:row>1</xdr:row>
                    <xdr:rowOff>9525</xdr:rowOff>
                  </from>
                  <to>
                    <xdr:col>4</xdr:col>
                    <xdr:colOff>952500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5648-B650-4F75-AF0F-A09679318E06}">
  <sheetPr codeName="Sheet8"/>
  <dimension ref="A1:F11"/>
  <sheetViews>
    <sheetView workbookViewId="0">
      <selection activeCell="F4" sqref="F4:F10"/>
    </sheetView>
  </sheetViews>
  <sheetFormatPr defaultRowHeight="18.75" x14ac:dyDescent="0.4"/>
  <cols>
    <col min="2" max="2" width="12.625" customWidth="1"/>
    <col min="4" max="4" width="4.625" customWidth="1"/>
    <col min="6" max="6" width="12.625" customWidth="1"/>
  </cols>
  <sheetData>
    <row r="1" spans="1:6" x14ac:dyDescent="0.4">
      <c r="A1" t="s">
        <v>19</v>
      </c>
    </row>
    <row r="3" spans="1:6" x14ac:dyDescent="0.4">
      <c r="A3" s="62" t="s">
        <v>20</v>
      </c>
      <c r="B3" s="62" t="s">
        <v>21</v>
      </c>
      <c r="C3" s="62" t="s">
        <v>37</v>
      </c>
      <c r="E3" s="62" t="s">
        <v>22</v>
      </c>
      <c r="F3" s="62" t="s">
        <v>23</v>
      </c>
    </row>
    <row r="4" spans="1:6" x14ac:dyDescent="0.4">
      <c r="A4" s="4">
        <v>1.5</v>
      </c>
      <c r="B4" s="4">
        <f>LN(A4)</f>
        <v>0.40546510810816438</v>
      </c>
      <c r="C4" s="13">
        <f t="array" ref="C4:C11">_xll.WPchse(8,A4:A11,B4:B11)</f>
        <v>0.66650046809082153</v>
      </c>
      <c r="E4" s="4">
        <v>1.55</v>
      </c>
      <c r="F4" s="13">
        <f t="array" ref="F4:F10">_xll.WPchfe(7,E4:E10,8,A4:A11,B4:B11,C4:C11)</f>
        <v>0.43825258909414383</v>
      </c>
    </row>
    <row r="5" spans="1:6" x14ac:dyDescent="0.4">
      <c r="A5" s="8">
        <v>1.6</v>
      </c>
      <c r="B5" s="8">
        <f t="shared" ref="B5:B11" si="0">LN(A5)</f>
        <v>0.47000362924573563</v>
      </c>
      <c r="C5" s="14">
        <v>0.6250428347153163</v>
      </c>
      <c r="E5" s="8">
        <v>1.65</v>
      </c>
      <c r="F5" s="14">
        <v>0.50077619456704325</v>
      </c>
    </row>
    <row r="6" spans="1:6" x14ac:dyDescent="0.4">
      <c r="A6" s="8">
        <v>1.7</v>
      </c>
      <c r="B6" s="8">
        <f t="shared" si="0"/>
        <v>0.53062825106217038</v>
      </c>
      <c r="C6" s="14">
        <v>0.58822248166809399</v>
      </c>
      <c r="E6" s="8">
        <v>1.75</v>
      </c>
      <c r="F6" s="14">
        <v>0.55961576014919823</v>
      </c>
    </row>
    <row r="7" spans="1:6" x14ac:dyDescent="0.4">
      <c r="A7" s="8">
        <v>1.8</v>
      </c>
      <c r="B7" s="8">
        <f t="shared" si="0"/>
        <v>0.58778666490211906</v>
      </c>
      <c r="C7" s="14">
        <v>0.55555830830381137</v>
      </c>
      <c r="E7" s="8">
        <v>1.85</v>
      </c>
      <c r="F7" s="14">
        <v>0.61518583766076218</v>
      </c>
    </row>
    <row r="8" spans="1:6" x14ac:dyDescent="0.4">
      <c r="A8" s="8">
        <v>1.9</v>
      </c>
      <c r="B8" s="8">
        <f t="shared" si="0"/>
        <v>0.64185388617239469</v>
      </c>
      <c r="C8" s="14">
        <v>0.52631333842339023</v>
      </c>
      <c r="E8" s="8">
        <v>1.95</v>
      </c>
      <c r="F8" s="14">
        <v>0.66782940249974465</v>
      </c>
    </row>
    <row r="9" spans="1:6" x14ac:dyDescent="0.4">
      <c r="A9" s="8">
        <v>2</v>
      </c>
      <c r="B9" s="8">
        <f t="shared" si="0"/>
        <v>0.69314718055994529</v>
      </c>
      <c r="C9" s="14">
        <v>0.50000380773741537</v>
      </c>
      <c r="E9" s="8">
        <v>2.0499999999999998</v>
      </c>
      <c r="F9" s="14">
        <v>0.7178401203996736</v>
      </c>
    </row>
    <row r="10" spans="1:6" x14ac:dyDescent="0.4">
      <c r="A10" s="8">
        <v>2.1</v>
      </c>
      <c r="B10" s="8">
        <f t="shared" si="0"/>
        <v>0.74193734472937733</v>
      </c>
      <c r="C10" s="14">
        <v>0.4761751873364245</v>
      </c>
      <c r="E10" s="12">
        <v>2.15</v>
      </c>
      <c r="F10" s="15">
        <v>0.76546703192544607</v>
      </c>
    </row>
    <row r="11" spans="1:6" x14ac:dyDescent="0.4">
      <c r="A11" s="12">
        <v>2.2000000000000002</v>
      </c>
      <c r="B11" s="12">
        <f t="shared" si="0"/>
        <v>0.78845736036427028</v>
      </c>
      <c r="C11" s="15">
        <v>0.45460083704663345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E992-7AC3-4E39-8741-53FF0A196841}">
  <sheetPr codeName="Sheet9"/>
  <dimension ref="A1:D11"/>
  <sheetViews>
    <sheetView workbookViewId="0"/>
  </sheetViews>
  <sheetFormatPr defaultRowHeight="18.75" x14ac:dyDescent="0.4"/>
  <cols>
    <col min="1" max="4" width="12.625" customWidth="1"/>
  </cols>
  <sheetData>
    <row r="1" spans="1:4" x14ac:dyDescent="0.4">
      <c r="A1" t="s">
        <v>24</v>
      </c>
    </row>
    <row r="4" spans="1:4" x14ac:dyDescent="0.4">
      <c r="A4" s="62" t="s">
        <v>25</v>
      </c>
      <c r="B4" s="62" t="s">
        <v>26</v>
      </c>
      <c r="C4" s="62" t="s">
        <v>27</v>
      </c>
      <c r="D4" s="62" t="s">
        <v>28</v>
      </c>
    </row>
    <row r="5" spans="1:4" x14ac:dyDescent="0.4">
      <c r="A5" s="4">
        <v>1</v>
      </c>
      <c r="B5" s="46"/>
      <c r="C5" s="47"/>
      <c r="D5" s="13"/>
    </row>
    <row r="6" spans="1:4" x14ac:dyDescent="0.4">
      <c r="A6" s="8">
        <v>0</v>
      </c>
      <c r="B6" s="48"/>
      <c r="C6" s="49"/>
      <c r="D6" s="14"/>
    </row>
    <row r="7" spans="1:4" x14ac:dyDescent="0.4">
      <c r="A7" s="8">
        <v>2</v>
      </c>
      <c r="B7" s="48"/>
      <c r="C7" s="49"/>
      <c r="D7" s="14"/>
    </row>
    <row r="8" spans="1:4" x14ac:dyDescent="0.4">
      <c r="A8" s="8">
        <v>2</v>
      </c>
      <c r="B8" s="48"/>
      <c r="C8" s="49"/>
      <c r="D8" s="14"/>
    </row>
    <row r="9" spans="1:4" x14ac:dyDescent="0.4">
      <c r="A9" s="8">
        <v>-15</v>
      </c>
      <c r="B9" s="50"/>
      <c r="C9" s="51"/>
      <c r="D9" s="15"/>
    </row>
    <row r="10" spans="1:4" x14ac:dyDescent="0.4">
      <c r="A10" s="12">
        <v>10</v>
      </c>
      <c r="B10" s="52"/>
      <c r="C10" s="53"/>
      <c r="D10" s="54"/>
    </row>
    <row r="11" spans="1:4" x14ac:dyDescent="0.4">
      <c r="B11" t="s">
        <v>29</v>
      </c>
      <c r="C11" t="s">
        <v>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Ex6.Start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Ex6.Clear">
                <anchor moveWithCells="1" sizeWithCells="1">
                  <from>
                    <xdr:col>3</xdr:col>
                    <xdr:colOff>238125</xdr:colOff>
                    <xdr:row>1</xdr:row>
                    <xdr:rowOff>19050</xdr:rowOff>
                  </from>
                  <to>
                    <xdr:col>4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2E25-44B2-46D2-B82F-A87DDD591513}">
  <sheetPr codeName="Sheet10"/>
  <dimension ref="A1:D10"/>
  <sheetViews>
    <sheetView workbookViewId="0">
      <selection activeCell="B4" sqref="B4:D9"/>
    </sheetView>
  </sheetViews>
  <sheetFormatPr defaultRowHeight="18.75" x14ac:dyDescent="0.4"/>
  <cols>
    <col min="1" max="4" width="12.625" customWidth="1"/>
  </cols>
  <sheetData>
    <row r="1" spans="1:4" x14ac:dyDescent="0.4">
      <c r="A1" t="s">
        <v>24</v>
      </c>
    </row>
    <row r="3" spans="1:4" x14ac:dyDescent="0.4">
      <c r="A3" s="62" t="s">
        <v>25</v>
      </c>
      <c r="B3" s="62" t="s">
        <v>26</v>
      </c>
      <c r="C3" s="62" t="s">
        <v>27</v>
      </c>
      <c r="D3" s="62" t="s">
        <v>28</v>
      </c>
    </row>
    <row r="4" spans="1:4" x14ac:dyDescent="0.4">
      <c r="A4" s="4">
        <v>1</v>
      </c>
      <c r="B4" s="46">
        <f t="array" ref="B4:D9">_xll.WRpzero2(5,A4:A9)</f>
        <v>1.0000000135981033</v>
      </c>
      <c r="C4" s="47">
        <v>2.1462535829239279E-8</v>
      </c>
      <c r="D4" s="13">
        <v>1.2659793212291131E-7</v>
      </c>
    </row>
    <row r="5" spans="1:4" x14ac:dyDescent="0.4">
      <c r="A5" s="8">
        <v>0</v>
      </c>
      <c r="B5" s="48">
        <v>1.4829843740329862E-18</v>
      </c>
      <c r="C5" s="49">
        <v>2.2360679774997898</v>
      </c>
      <c r="D5" s="14">
        <v>8.9952894385482802E-15</v>
      </c>
    </row>
    <row r="6" spans="1:4" x14ac:dyDescent="0.4">
      <c r="A6" s="8">
        <v>2</v>
      </c>
      <c r="B6" s="48">
        <v>-2</v>
      </c>
      <c r="C6" s="49">
        <v>1.1504163109909317E-19</v>
      </c>
      <c r="D6" s="14">
        <v>7.5385514237206395E-15</v>
      </c>
    </row>
    <row r="7" spans="1:4" x14ac:dyDescent="0.4">
      <c r="A7" s="8">
        <v>2</v>
      </c>
      <c r="B7" s="48">
        <v>7.9424131187531547E-17</v>
      </c>
      <c r="C7" s="49">
        <v>-2.2360679774997898</v>
      </c>
      <c r="D7" s="14">
        <v>9.0672308009473836E-15</v>
      </c>
    </row>
    <row r="8" spans="1:4" x14ac:dyDescent="0.4">
      <c r="A8" s="8">
        <v>-15</v>
      </c>
      <c r="B8" s="50">
        <v>0.99999998704646131</v>
      </c>
      <c r="C8" s="51">
        <v>-2.2478416173885211E-8</v>
      </c>
      <c r="D8" s="15">
        <v>1.2657854084498727E-7</v>
      </c>
    </row>
    <row r="9" spans="1:4" x14ac:dyDescent="0.4">
      <c r="A9" s="12">
        <v>10</v>
      </c>
      <c r="B9" s="52">
        <v>0</v>
      </c>
      <c r="C9" s="53">
        <v>30</v>
      </c>
      <c r="D9" s="20">
        <v>0</v>
      </c>
    </row>
    <row r="10" spans="1:4" x14ac:dyDescent="0.4">
      <c r="B10" t="s">
        <v>29</v>
      </c>
      <c r="C10" t="s">
        <v>30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1AF7A-7E15-45A8-A89E-80E1EC12812E}">
  <sheetPr codeName="Sheet11"/>
  <dimension ref="A1:B13"/>
  <sheetViews>
    <sheetView workbookViewId="0"/>
  </sheetViews>
  <sheetFormatPr defaultRowHeight="18.75" x14ac:dyDescent="0.4"/>
  <sheetData>
    <row r="1" spans="1:2" x14ac:dyDescent="0.4">
      <c r="A1" t="s">
        <v>31</v>
      </c>
    </row>
    <row r="4" spans="1:2" x14ac:dyDescent="0.4">
      <c r="A4" s="55" t="s">
        <v>10</v>
      </c>
      <c r="B4" s="56" t="s">
        <v>66</v>
      </c>
    </row>
    <row r="5" spans="1:2" x14ac:dyDescent="0.4">
      <c r="A5" s="57">
        <v>-4</v>
      </c>
      <c r="B5" s="58">
        <f>A5^3-2*A5-5</f>
        <v>-61</v>
      </c>
    </row>
    <row r="6" spans="1:2" x14ac:dyDescent="0.4">
      <c r="A6" s="42">
        <v>-3</v>
      </c>
      <c r="B6" s="43">
        <f t="shared" ref="B6:B13" si="0">A6^3-2*A6-5</f>
        <v>-26</v>
      </c>
    </row>
    <row r="7" spans="1:2" x14ac:dyDescent="0.4">
      <c r="A7" s="42">
        <v>-2</v>
      </c>
      <c r="B7" s="43">
        <f t="shared" si="0"/>
        <v>-9</v>
      </c>
    </row>
    <row r="8" spans="1:2" x14ac:dyDescent="0.4">
      <c r="A8" s="42">
        <v>-1</v>
      </c>
      <c r="B8" s="43">
        <f t="shared" si="0"/>
        <v>-4</v>
      </c>
    </row>
    <row r="9" spans="1:2" x14ac:dyDescent="0.4">
      <c r="A9" s="42">
        <v>0</v>
      </c>
      <c r="B9" s="43">
        <f t="shared" si="0"/>
        <v>-5</v>
      </c>
    </row>
    <row r="10" spans="1:2" x14ac:dyDescent="0.4">
      <c r="A10" s="42">
        <v>1</v>
      </c>
      <c r="B10" s="43">
        <f t="shared" si="0"/>
        <v>-6</v>
      </c>
    </row>
    <row r="11" spans="1:2" x14ac:dyDescent="0.4">
      <c r="A11" s="42">
        <v>2</v>
      </c>
      <c r="B11" s="43">
        <f t="shared" si="0"/>
        <v>-1</v>
      </c>
    </row>
    <row r="12" spans="1:2" x14ac:dyDescent="0.4">
      <c r="A12" s="42">
        <v>3</v>
      </c>
      <c r="B12" s="43">
        <f t="shared" si="0"/>
        <v>16</v>
      </c>
    </row>
    <row r="13" spans="1:2" x14ac:dyDescent="0.4">
      <c r="A13" s="44">
        <v>4</v>
      </c>
      <c r="B13" s="45">
        <f t="shared" si="0"/>
        <v>51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Ex7.Star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0EC96-718B-47BF-81AE-CF25D06DE0A1}">
  <sheetPr codeName="Sheet15"/>
  <dimension ref="A1:C12"/>
  <sheetViews>
    <sheetView workbookViewId="0"/>
  </sheetViews>
  <sheetFormatPr defaultRowHeight="18.75" x14ac:dyDescent="0.4"/>
  <cols>
    <col min="3" max="3" width="12.625" customWidth="1"/>
  </cols>
  <sheetData>
    <row r="1" spans="1:3" x14ac:dyDescent="0.4">
      <c r="A1" t="s">
        <v>47</v>
      </c>
    </row>
    <row r="3" spans="1:3" x14ac:dyDescent="0.4">
      <c r="A3" s="70" t="s">
        <v>48</v>
      </c>
      <c r="B3" s="70" t="s">
        <v>49</v>
      </c>
      <c r="C3" s="70" t="s">
        <v>50</v>
      </c>
    </row>
    <row r="4" spans="1:3" x14ac:dyDescent="0.4">
      <c r="A4" s="71">
        <v>1</v>
      </c>
      <c r="B4" s="71">
        <v>3</v>
      </c>
      <c r="C4" s="16"/>
    </row>
    <row r="6" spans="1:3" x14ac:dyDescent="0.4">
      <c r="A6" s="67" t="s">
        <v>39</v>
      </c>
      <c r="B6" s="16"/>
    </row>
    <row r="7" spans="1:3" x14ac:dyDescent="0.4">
      <c r="A7" s="72" t="s">
        <v>51</v>
      </c>
      <c r="B7" s="12">
        <f>B6^3-2*B6-5</f>
        <v>-5</v>
      </c>
    </row>
    <row r="9" spans="1:3" x14ac:dyDescent="0.4">
      <c r="A9" s="86" t="s">
        <v>52</v>
      </c>
    </row>
    <row r="10" spans="1:3" x14ac:dyDescent="0.4">
      <c r="A10" s="87" t="s">
        <v>53</v>
      </c>
    </row>
    <row r="11" spans="1:3" x14ac:dyDescent="0.4">
      <c r="A11" s="87" t="s">
        <v>54</v>
      </c>
    </row>
    <row r="12" spans="1:3" x14ac:dyDescent="0.4">
      <c r="A12" s="88">
        <v>1E-8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9099-EE95-4D71-8AEC-CD4DBD1445BC}">
  <sheetPr codeName="Sheet12"/>
  <dimension ref="A1:E10"/>
  <sheetViews>
    <sheetView workbookViewId="0"/>
  </sheetViews>
  <sheetFormatPr defaultRowHeight="18.75" x14ac:dyDescent="0.4"/>
  <sheetData>
    <row r="1" spans="1:5" x14ac:dyDescent="0.4">
      <c r="A1" t="s">
        <v>32</v>
      </c>
    </row>
    <row r="4" spans="1:5" x14ac:dyDescent="0.4">
      <c r="A4" s="59" t="s">
        <v>96</v>
      </c>
      <c r="B4" s="60"/>
      <c r="C4" s="59" t="s">
        <v>97</v>
      </c>
      <c r="D4" s="60"/>
      <c r="E4" s="89" t="s">
        <v>7</v>
      </c>
    </row>
    <row r="5" spans="1:5" x14ac:dyDescent="0.4">
      <c r="A5" s="55" t="s">
        <v>35</v>
      </c>
      <c r="B5" s="56" t="s">
        <v>36</v>
      </c>
      <c r="C5" s="55" t="s">
        <v>35</v>
      </c>
      <c r="D5" s="56" t="s">
        <v>36</v>
      </c>
      <c r="E5" s="90"/>
    </row>
    <row r="6" spans="1:5" x14ac:dyDescent="0.4">
      <c r="A6" s="1">
        <v>1</v>
      </c>
      <c r="B6" s="3">
        <v>1</v>
      </c>
      <c r="C6" s="46"/>
      <c r="D6" s="47"/>
      <c r="E6" s="13"/>
    </row>
    <row r="7" spans="1:5" x14ac:dyDescent="0.4">
      <c r="A7" s="5">
        <v>1</v>
      </c>
      <c r="B7" s="7">
        <v>-1</v>
      </c>
      <c r="C7" s="48"/>
      <c r="D7" s="49"/>
      <c r="E7" s="14"/>
    </row>
    <row r="8" spans="1:5" x14ac:dyDescent="0.4">
      <c r="A8" s="5">
        <v>-1</v>
      </c>
      <c r="B8" s="7">
        <v>1</v>
      </c>
      <c r="C8" s="48"/>
      <c r="D8" s="49"/>
      <c r="E8" s="14"/>
    </row>
    <row r="9" spans="1:5" x14ac:dyDescent="0.4">
      <c r="A9" s="5">
        <v>-1</v>
      </c>
      <c r="B9" s="7">
        <v>-1</v>
      </c>
      <c r="C9" s="48"/>
      <c r="D9" s="49"/>
      <c r="E9" s="14"/>
    </row>
    <row r="10" spans="1:5" x14ac:dyDescent="0.4">
      <c r="A10" s="9">
        <v>0</v>
      </c>
      <c r="B10" s="11">
        <v>0</v>
      </c>
      <c r="C10" s="50"/>
      <c r="D10" s="51"/>
      <c r="E10" s="15"/>
    </row>
  </sheetData>
  <mergeCells count="1">
    <mergeCell ref="E4:E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Ex8.Start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2</xdr:col>
                    <xdr:colOff>676275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Ex8.Cle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FB6D-2FB0-4C40-9E0F-5782A132BE8C}">
  <sheetPr codeName="Sheet14"/>
  <dimension ref="A1:D18"/>
  <sheetViews>
    <sheetView workbookViewId="0"/>
  </sheetViews>
  <sheetFormatPr defaultRowHeight="18.75" x14ac:dyDescent="0.4"/>
  <sheetData>
    <row r="1" spans="1:4" x14ac:dyDescent="0.4">
      <c r="A1" t="s">
        <v>46</v>
      </c>
    </row>
    <row r="3" spans="1:4" x14ac:dyDescent="0.4">
      <c r="A3" s="59" t="s">
        <v>96</v>
      </c>
      <c r="B3" s="60"/>
      <c r="C3" s="59" t="s">
        <v>97</v>
      </c>
      <c r="D3" s="60"/>
    </row>
    <row r="4" spans="1:4" x14ac:dyDescent="0.4">
      <c r="A4" s="55" t="s">
        <v>35</v>
      </c>
      <c r="B4" s="56" t="s">
        <v>36</v>
      </c>
      <c r="C4" s="55" t="s">
        <v>35</v>
      </c>
      <c r="D4" s="56" t="s">
        <v>36</v>
      </c>
    </row>
    <row r="5" spans="1:4" x14ac:dyDescent="0.4">
      <c r="A5" s="9">
        <v>0</v>
      </c>
      <c r="B5" s="11">
        <v>0</v>
      </c>
      <c r="C5" s="50"/>
      <c r="D5" s="51"/>
    </row>
    <row r="7" spans="1:4" x14ac:dyDescent="0.4">
      <c r="A7" s="65" t="s">
        <v>38</v>
      </c>
      <c r="B7" s="39">
        <v>2</v>
      </c>
      <c r="C7" s="66"/>
    </row>
    <row r="8" spans="1:4" x14ac:dyDescent="0.4">
      <c r="A8" s="67" t="s">
        <v>39</v>
      </c>
      <c r="B8" s="52"/>
      <c r="C8" s="53"/>
    </row>
    <row r="9" spans="1:4" x14ac:dyDescent="0.4">
      <c r="A9" s="67" t="s">
        <v>40</v>
      </c>
      <c r="B9" s="68">
        <f>4*B8^2+C8^2-16</f>
        <v>-16</v>
      </c>
      <c r="C9" s="69">
        <f>B8^2+C8^2-9</f>
        <v>-9</v>
      </c>
    </row>
    <row r="11" spans="1:4" x14ac:dyDescent="0.4">
      <c r="A11" s="86">
        <v>2</v>
      </c>
    </row>
    <row r="12" spans="1:4" x14ac:dyDescent="0.4">
      <c r="A12" s="87" t="s">
        <v>41</v>
      </c>
    </row>
    <row r="13" spans="1:4" x14ac:dyDescent="0.4">
      <c r="A13" s="87" t="s">
        <v>42</v>
      </c>
    </row>
    <row r="14" spans="1:4" x14ac:dyDescent="0.4">
      <c r="A14" s="87" t="s">
        <v>43</v>
      </c>
    </row>
    <row r="15" spans="1:4" x14ac:dyDescent="0.4">
      <c r="A15" s="87" t="s">
        <v>44</v>
      </c>
    </row>
    <row r="16" spans="1:4" x14ac:dyDescent="0.4">
      <c r="A16" s="87" t="s">
        <v>45</v>
      </c>
    </row>
    <row r="17" spans="1:1" x14ac:dyDescent="0.4">
      <c r="A17" s="87">
        <v>1E-8</v>
      </c>
    </row>
    <row r="18" spans="1:1" x14ac:dyDescent="0.4">
      <c r="A18" s="88">
        <v>1</v>
      </c>
    </row>
  </sheetData>
  <phoneticPr fontId="1"/>
  <dataValidations count="1">
    <dataValidation type="whole" allowBlank="1" showInputMessage="1" showErrorMessage="1" sqref="B7" xr:uid="{C6119B2C-5424-48BE-89CE-803BEAE4D00D}">
      <formula1>1</formula1>
      <formula2>4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E50A2-1D43-49D5-AF45-A7764122B3A4}">
  <sheetPr codeName="Sheet28"/>
  <dimension ref="A1:E10"/>
  <sheetViews>
    <sheetView workbookViewId="0"/>
  </sheetViews>
  <sheetFormatPr defaultRowHeight="18.75" x14ac:dyDescent="0.4"/>
  <sheetData>
    <row r="1" spans="1:5" x14ac:dyDescent="0.4">
      <c r="A1" t="s">
        <v>98</v>
      </c>
    </row>
    <row r="4" spans="1:5" x14ac:dyDescent="0.4">
      <c r="A4" s="59" t="s">
        <v>96</v>
      </c>
      <c r="B4" s="60"/>
      <c r="C4" s="59" t="s">
        <v>97</v>
      </c>
      <c r="D4" s="60"/>
      <c r="E4" s="89" t="s">
        <v>7</v>
      </c>
    </row>
    <row r="5" spans="1:5" x14ac:dyDescent="0.4">
      <c r="A5" s="55" t="s">
        <v>35</v>
      </c>
      <c r="B5" s="56" t="s">
        <v>36</v>
      </c>
      <c r="C5" s="55" t="s">
        <v>35</v>
      </c>
      <c r="D5" s="56" t="s">
        <v>36</v>
      </c>
      <c r="E5" s="90"/>
    </row>
    <row r="6" spans="1:5" x14ac:dyDescent="0.4">
      <c r="A6" s="1">
        <v>1</v>
      </c>
      <c r="B6" s="3">
        <v>1</v>
      </c>
      <c r="C6" s="46"/>
      <c r="D6" s="47"/>
      <c r="E6" s="13"/>
    </row>
    <row r="7" spans="1:5" x14ac:dyDescent="0.4">
      <c r="A7" s="5">
        <v>1</v>
      </c>
      <c r="B7" s="7">
        <v>-1</v>
      </c>
      <c r="C7" s="48"/>
      <c r="D7" s="49"/>
      <c r="E7" s="14"/>
    </row>
    <row r="8" spans="1:5" x14ac:dyDescent="0.4">
      <c r="A8" s="5">
        <v>-1</v>
      </c>
      <c r="B8" s="7">
        <v>1</v>
      </c>
      <c r="C8" s="48"/>
      <c r="D8" s="49"/>
      <c r="E8" s="14"/>
    </row>
    <row r="9" spans="1:5" x14ac:dyDescent="0.4">
      <c r="A9" s="5">
        <v>-1</v>
      </c>
      <c r="B9" s="7">
        <v>-1</v>
      </c>
      <c r="C9" s="48"/>
      <c r="D9" s="49"/>
      <c r="E9" s="14"/>
    </row>
    <row r="10" spans="1:5" x14ac:dyDescent="0.4">
      <c r="A10" s="9">
        <v>0</v>
      </c>
      <c r="B10" s="11">
        <v>0</v>
      </c>
      <c r="C10" s="50"/>
      <c r="D10" s="51"/>
      <c r="E10" s="15"/>
    </row>
  </sheetData>
  <mergeCells count="1">
    <mergeCell ref="E4:E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Ex8.Start_2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2</xdr:col>
                    <xdr:colOff>676275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Ex8.Cle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DDA2-9FB7-48A3-914B-BD36A9DAE164}">
  <sheetPr codeName="Sheet13"/>
  <dimension ref="A1:B13"/>
  <sheetViews>
    <sheetView workbookViewId="0"/>
  </sheetViews>
  <sheetFormatPr defaultRowHeight="18.75" x14ac:dyDescent="0.4"/>
  <sheetData>
    <row r="1" spans="1:2" x14ac:dyDescent="0.4">
      <c r="A1" t="s">
        <v>55</v>
      </c>
    </row>
    <row r="4" spans="1:2" x14ac:dyDescent="0.4">
      <c r="A4" s="55" t="s">
        <v>10</v>
      </c>
      <c r="B4" s="56" t="s">
        <v>66</v>
      </c>
    </row>
    <row r="5" spans="1:2" x14ac:dyDescent="0.4">
      <c r="A5" s="57">
        <v>-2</v>
      </c>
      <c r="B5" s="58">
        <f>A5^3-2*A5-5</f>
        <v>-9</v>
      </c>
    </row>
    <row r="6" spans="1:2" x14ac:dyDescent="0.4">
      <c r="A6" s="42">
        <v>-1.5</v>
      </c>
      <c r="B6" s="43">
        <f t="shared" ref="B6:B13" si="0">A6^3-2*A6-5</f>
        <v>-5.375</v>
      </c>
    </row>
    <row r="7" spans="1:2" x14ac:dyDescent="0.4">
      <c r="A7" s="42">
        <v>-1</v>
      </c>
      <c r="B7" s="43">
        <f t="shared" si="0"/>
        <v>-4</v>
      </c>
    </row>
    <row r="8" spans="1:2" x14ac:dyDescent="0.4">
      <c r="A8" s="42">
        <v>-0.5</v>
      </c>
      <c r="B8" s="43">
        <f t="shared" si="0"/>
        <v>-4.125</v>
      </c>
    </row>
    <row r="9" spans="1:2" x14ac:dyDescent="0.4">
      <c r="A9" s="42">
        <v>0</v>
      </c>
      <c r="B9" s="43">
        <f t="shared" si="0"/>
        <v>-5</v>
      </c>
    </row>
    <row r="10" spans="1:2" x14ac:dyDescent="0.4">
      <c r="A10" s="42">
        <v>0.5</v>
      </c>
      <c r="B10" s="43">
        <f t="shared" si="0"/>
        <v>-5.875</v>
      </c>
    </row>
    <row r="11" spans="1:2" x14ac:dyDescent="0.4">
      <c r="A11" s="42">
        <v>1</v>
      </c>
      <c r="B11" s="43">
        <f t="shared" si="0"/>
        <v>-6</v>
      </c>
    </row>
    <row r="12" spans="1:2" x14ac:dyDescent="0.4">
      <c r="A12" s="42">
        <v>1.5</v>
      </c>
      <c r="B12" s="43">
        <f t="shared" si="0"/>
        <v>-4.625</v>
      </c>
    </row>
    <row r="13" spans="1:2" x14ac:dyDescent="0.4">
      <c r="A13" s="44">
        <v>2</v>
      </c>
      <c r="B13" s="45">
        <f t="shared" si="0"/>
        <v>-1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9.Star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CA71B-936A-4B24-8069-8253629B2370}">
  <sheetPr codeName="Sheet16"/>
  <dimension ref="A1:C12"/>
  <sheetViews>
    <sheetView workbookViewId="0"/>
  </sheetViews>
  <sheetFormatPr defaultRowHeight="18.75" x14ac:dyDescent="0.4"/>
  <cols>
    <col min="3" max="3" width="12.625" customWidth="1"/>
  </cols>
  <sheetData>
    <row r="1" spans="1:3" x14ac:dyDescent="0.4">
      <c r="A1" t="s">
        <v>56</v>
      </c>
    </row>
    <row r="3" spans="1:3" x14ac:dyDescent="0.4">
      <c r="A3" s="70" t="s">
        <v>48</v>
      </c>
      <c r="B3" s="70" t="s">
        <v>49</v>
      </c>
      <c r="C3" s="70" t="s">
        <v>50</v>
      </c>
    </row>
    <row r="4" spans="1:3" x14ac:dyDescent="0.4">
      <c r="A4" s="71">
        <v>0</v>
      </c>
      <c r="B4" s="71">
        <v>1.5</v>
      </c>
      <c r="C4" s="16"/>
    </row>
    <row r="6" spans="1:3" x14ac:dyDescent="0.4">
      <c r="A6" s="67" t="s">
        <v>39</v>
      </c>
      <c r="B6" s="16"/>
    </row>
    <row r="7" spans="1:3" x14ac:dyDescent="0.4">
      <c r="A7" s="72" t="s">
        <v>51</v>
      </c>
      <c r="B7" s="12">
        <f>B6^3-2*B6-5</f>
        <v>-5</v>
      </c>
    </row>
    <row r="9" spans="1:3" x14ac:dyDescent="0.4">
      <c r="A9" s="86" t="s">
        <v>52</v>
      </c>
    </row>
    <row r="10" spans="1:3" x14ac:dyDescent="0.4">
      <c r="A10" s="87" t="s">
        <v>53</v>
      </c>
    </row>
    <row r="11" spans="1:3" x14ac:dyDescent="0.4">
      <c r="A11" s="87" t="s">
        <v>54</v>
      </c>
    </row>
    <row r="12" spans="1:3" x14ac:dyDescent="0.4">
      <c r="A12" s="88">
        <v>1.0000000000000001E-15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B3786-D754-47E8-A3B4-9AC836D80CA5}">
  <sheetPr codeName="Sheet17"/>
  <dimension ref="A1:E10"/>
  <sheetViews>
    <sheetView workbookViewId="0"/>
  </sheetViews>
  <sheetFormatPr defaultRowHeight="18.75" x14ac:dyDescent="0.4"/>
  <sheetData>
    <row r="1" spans="1:5" x14ac:dyDescent="0.4">
      <c r="A1" t="s">
        <v>57</v>
      </c>
    </row>
    <row r="4" spans="1:5" x14ac:dyDescent="0.4">
      <c r="A4" s="59" t="s">
        <v>33</v>
      </c>
      <c r="B4" s="60"/>
      <c r="C4" s="59" t="s">
        <v>34</v>
      </c>
      <c r="D4" s="60"/>
      <c r="E4" s="89"/>
    </row>
    <row r="5" spans="1:5" x14ac:dyDescent="0.4">
      <c r="A5" s="55" t="s">
        <v>35</v>
      </c>
      <c r="B5" s="56" t="s">
        <v>36</v>
      </c>
      <c r="C5" s="55" t="s">
        <v>35</v>
      </c>
      <c r="D5" s="56" t="s">
        <v>36</v>
      </c>
      <c r="E5" s="90" t="s">
        <v>7</v>
      </c>
    </row>
    <row r="6" spans="1:5" x14ac:dyDescent="0.4">
      <c r="A6" s="1">
        <v>-1.2</v>
      </c>
      <c r="B6" s="3">
        <v>1</v>
      </c>
      <c r="C6" s="46"/>
      <c r="D6" s="47"/>
      <c r="E6" s="13"/>
    </row>
    <row r="7" spans="1:5" x14ac:dyDescent="0.4">
      <c r="A7" s="5">
        <v>-1</v>
      </c>
      <c r="B7" s="7">
        <v>1</v>
      </c>
      <c r="C7" s="48"/>
      <c r="D7" s="49"/>
      <c r="E7" s="14"/>
    </row>
    <row r="8" spans="1:5" x14ac:dyDescent="0.4">
      <c r="A8" s="5">
        <v>-1</v>
      </c>
      <c r="B8" s="7">
        <v>-1</v>
      </c>
      <c r="C8" s="48"/>
      <c r="D8" s="49"/>
      <c r="E8" s="14"/>
    </row>
    <row r="9" spans="1:5" x14ac:dyDescent="0.4">
      <c r="A9" s="5">
        <v>0</v>
      </c>
      <c r="B9" s="7">
        <v>1</v>
      </c>
      <c r="C9" s="48"/>
      <c r="D9" s="49"/>
      <c r="E9" s="14"/>
    </row>
    <row r="10" spans="1:5" x14ac:dyDescent="0.4">
      <c r="A10" s="9">
        <v>0</v>
      </c>
      <c r="B10" s="11">
        <v>0</v>
      </c>
      <c r="C10" s="50"/>
      <c r="D10" s="51"/>
      <c r="E10" s="15"/>
    </row>
  </sheetData>
  <mergeCells count="1">
    <mergeCell ref="E4:E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3" name="Button 3">
              <controlPr defaultSize="0" print="0" autoFill="0" autoPict="0" macro="[0]!Ex10.Start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2</xdr:col>
                    <xdr:colOff>676275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4" name="Button 4">
              <controlPr defaultSize="0" print="0" autoFill="0" autoPict="0" macro="[0]!Ex10.Cle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A91BB-2B00-4FD3-B573-C40E1484FD04}">
  <sheetPr codeName="Sheet18"/>
  <dimension ref="A1:D18"/>
  <sheetViews>
    <sheetView workbookViewId="0"/>
  </sheetViews>
  <sheetFormatPr defaultRowHeight="18.75" x14ac:dyDescent="0.4"/>
  <sheetData>
    <row r="1" spans="1:4" x14ac:dyDescent="0.4">
      <c r="A1" t="s">
        <v>59</v>
      </c>
    </row>
    <row r="3" spans="1:4" x14ac:dyDescent="0.4">
      <c r="A3" s="59" t="s">
        <v>33</v>
      </c>
      <c r="B3" s="60"/>
      <c r="C3" s="59" t="s">
        <v>34</v>
      </c>
      <c r="D3" s="60"/>
    </row>
    <row r="4" spans="1:4" x14ac:dyDescent="0.4">
      <c r="A4" s="55" t="s">
        <v>35</v>
      </c>
      <c r="B4" s="56" t="s">
        <v>36</v>
      </c>
      <c r="C4" s="55" t="s">
        <v>35</v>
      </c>
      <c r="D4" s="56" t="s">
        <v>36</v>
      </c>
    </row>
    <row r="5" spans="1:4" x14ac:dyDescent="0.4">
      <c r="A5" s="9">
        <v>-1.2</v>
      </c>
      <c r="B5" s="11">
        <v>1</v>
      </c>
      <c r="C5" s="50"/>
      <c r="D5" s="51"/>
    </row>
    <row r="7" spans="1:4" x14ac:dyDescent="0.4">
      <c r="A7" s="65" t="s">
        <v>38</v>
      </c>
      <c r="B7" s="39">
        <v>2</v>
      </c>
      <c r="C7" s="66"/>
    </row>
    <row r="8" spans="1:4" x14ac:dyDescent="0.4">
      <c r="A8" s="67" t="s">
        <v>39</v>
      </c>
      <c r="B8" s="52"/>
      <c r="C8" s="53"/>
    </row>
    <row r="9" spans="1:4" x14ac:dyDescent="0.4">
      <c r="A9" s="67" t="s">
        <v>51</v>
      </c>
      <c r="B9" s="71">
        <f>100*(C8-B8^2)^2+(1-B8)^2</f>
        <v>1</v>
      </c>
    </row>
    <row r="11" spans="1:4" x14ac:dyDescent="0.4">
      <c r="A11" s="86">
        <v>2</v>
      </c>
    </row>
    <row r="12" spans="1:4" x14ac:dyDescent="0.4">
      <c r="A12" s="87" t="s">
        <v>41</v>
      </c>
    </row>
    <row r="13" spans="1:4" x14ac:dyDescent="0.4">
      <c r="A13" s="87" t="s">
        <v>58</v>
      </c>
    </row>
    <row r="14" spans="1:4" x14ac:dyDescent="0.4">
      <c r="A14" s="87" t="s">
        <v>43</v>
      </c>
    </row>
    <row r="15" spans="1:4" x14ac:dyDescent="0.4">
      <c r="A15" s="87" t="s">
        <v>44</v>
      </c>
    </row>
    <row r="16" spans="1:4" x14ac:dyDescent="0.4">
      <c r="A16" s="87" t="s">
        <v>45</v>
      </c>
    </row>
    <row r="17" spans="1:1" x14ac:dyDescent="0.4">
      <c r="A17" s="87">
        <v>1E-8</v>
      </c>
    </row>
    <row r="18" spans="1:1" x14ac:dyDescent="0.4">
      <c r="A18" s="88">
        <v>1</v>
      </c>
    </row>
  </sheetData>
  <phoneticPr fontId="1"/>
  <dataValidations count="1">
    <dataValidation type="whole" allowBlank="1" showInputMessage="1" showErrorMessage="1" sqref="B7" xr:uid="{6DA98C52-2222-4F00-97D5-FC013D5D6256}">
      <formula1>1</formula1>
      <formula2>4</formula2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44D3-D15F-48B6-838A-F7E83BDFC3E8}">
  <sheetPr codeName="Sheet19"/>
  <dimension ref="A1:C11"/>
  <sheetViews>
    <sheetView workbookViewId="0"/>
  </sheetViews>
  <sheetFormatPr defaultRowHeight="18.75" x14ac:dyDescent="0.4"/>
  <cols>
    <col min="2" max="3" width="12.625" customWidth="1"/>
  </cols>
  <sheetData>
    <row r="1" spans="1:3" x14ac:dyDescent="0.4">
      <c r="A1" t="s">
        <v>60</v>
      </c>
    </row>
    <row r="4" spans="1:3" x14ac:dyDescent="0.4">
      <c r="A4" s="74" t="s">
        <v>0</v>
      </c>
      <c r="B4" s="4">
        <v>0</v>
      </c>
    </row>
    <row r="5" spans="1:3" x14ac:dyDescent="0.4">
      <c r="A5" s="75" t="s">
        <v>1</v>
      </c>
      <c r="B5" s="12">
        <v>4</v>
      </c>
    </row>
    <row r="7" spans="1:3" x14ac:dyDescent="0.4">
      <c r="A7" s="62"/>
      <c r="B7" s="62" t="s">
        <v>61</v>
      </c>
      <c r="C7" s="62" t="s">
        <v>99</v>
      </c>
    </row>
    <row r="8" spans="1:3" x14ac:dyDescent="0.4">
      <c r="A8" s="62" t="s">
        <v>62</v>
      </c>
      <c r="B8" s="16"/>
      <c r="C8" s="16"/>
    </row>
    <row r="9" spans="1:3" x14ac:dyDescent="0.4">
      <c r="A9" s="62" t="s">
        <v>63</v>
      </c>
      <c r="B9" s="16"/>
      <c r="C9" s="16"/>
    </row>
    <row r="10" spans="1:3" x14ac:dyDescent="0.4">
      <c r="A10" s="62" t="s">
        <v>64</v>
      </c>
      <c r="B10" s="16"/>
      <c r="C10" s="54"/>
    </row>
    <row r="11" spans="1:3" x14ac:dyDescent="0.4">
      <c r="A11" s="62" t="s">
        <v>7</v>
      </c>
      <c r="B11" s="16"/>
      <c r="C11" s="7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Ex11.Star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Ex11.Clear">
                <anchor moveWithCells="1" sizeWithCells="1">
                  <from>
                    <xdr:col>2</xdr:col>
                    <xdr:colOff>257175</xdr:colOff>
                    <xdr:row>1</xdr:row>
                    <xdr:rowOff>0</xdr:rowOff>
                  </from>
                  <to>
                    <xdr:col>2</xdr:col>
                    <xdr:colOff>952500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FD97C-3CE3-456D-8BA7-36A1C0CC0E6E}">
  <sheetPr codeName="Sheet20"/>
  <dimension ref="A1:C15"/>
  <sheetViews>
    <sheetView workbookViewId="0"/>
  </sheetViews>
  <sheetFormatPr defaultRowHeight="18.75" x14ac:dyDescent="0.4"/>
  <cols>
    <col min="3" max="3" width="12.625" customWidth="1"/>
  </cols>
  <sheetData>
    <row r="1" spans="1:3" x14ac:dyDescent="0.4">
      <c r="A1" t="s">
        <v>67</v>
      </c>
    </row>
    <row r="3" spans="1:3" x14ac:dyDescent="0.4">
      <c r="A3" s="67" t="s">
        <v>39</v>
      </c>
      <c r="B3" s="16"/>
    </row>
    <row r="4" spans="1:3" x14ac:dyDescent="0.4">
      <c r="A4" s="72" t="s">
        <v>51</v>
      </c>
      <c r="B4" s="12">
        <f>1/(1+B3^2)</f>
        <v>1</v>
      </c>
    </row>
    <row r="6" spans="1:3" x14ac:dyDescent="0.4">
      <c r="A6" s="70" t="s">
        <v>48</v>
      </c>
      <c r="B6" s="70" t="s">
        <v>49</v>
      </c>
      <c r="C6" s="70" t="s">
        <v>65</v>
      </c>
    </row>
    <row r="7" spans="1:3" x14ac:dyDescent="0.4">
      <c r="A7" s="71">
        <v>0</v>
      </c>
      <c r="B7" s="71">
        <v>4</v>
      </c>
      <c r="C7" s="16"/>
    </row>
    <row r="9" spans="1:3" x14ac:dyDescent="0.4">
      <c r="A9" s="86" t="s">
        <v>69</v>
      </c>
    </row>
    <row r="10" spans="1:3" x14ac:dyDescent="0.4">
      <c r="A10" s="87" t="s">
        <v>70</v>
      </c>
    </row>
    <row r="11" spans="1:3" x14ac:dyDescent="0.4">
      <c r="A11" s="87" t="s">
        <v>71</v>
      </c>
    </row>
    <row r="12" spans="1:3" x14ac:dyDescent="0.4">
      <c r="A12" s="87">
        <v>1E-8</v>
      </c>
    </row>
    <row r="13" spans="1:3" x14ac:dyDescent="0.4">
      <c r="A13" s="87">
        <v>1</v>
      </c>
    </row>
    <row r="14" spans="1:3" x14ac:dyDescent="0.4">
      <c r="A14" s="87">
        <v>0</v>
      </c>
    </row>
    <row r="15" spans="1:3" x14ac:dyDescent="0.4">
      <c r="A15" s="88">
        <v>0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00E4-7342-4235-AA78-C9FF1661EADC}">
  <sheetPr codeName="Sheet27"/>
  <dimension ref="A1:B18"/>
  <sheetViews>
    <sheetView workbookViewId="0"/>
  </sheetViews>
  <sheetFormatPr defaultRowHeight="18.75" x14ac:dyDescent="0.4"/>
  <cols>
    <col min="2" max="2" width="12.625" customWidth="1"/>
  </cols>
  <sheetData>
    <row r="1" spans="1:2" x14ac:dyDescent="0.4">
      <c r="A1" t="s">
        <v>68</v>
      </c>
    </row>
    <row r="4" spans="1:2" x14ac:dyDescent="0.4">
      <c r="A4" s="62" t="s">
        <v>10</v>
      </c>
      <c r="B4" s="62" t="s">
        <v>66</v>
      </c>
    </row>
    <row r="5" spans="1:2" x14ac:dyDescent="0.4">
      <c r="A5" s="4">
        <v>0</v>
      </c>
      <c r="B5" s="4">
        <f>1 / (1 + A5^ 2)</f>
        <v>1</v>
      </c>
    </row>
    <row r="6" spans="1:2" x14ac:dyDescent="0.4">
      <c r="A6" s="8">
        <v>0.5</v>
      </c>
      <c r="B6" s="8">
        <f t="shared" ref="B6:B13" si="0">1 / (1 + A6^ 2)</f>
        <v>0.8</v>
      </c>
    </row>
    <row r="7" spans="1:2" x14ac:dyDescent="0.4">
      <c r="A7" s="8">
        <v>1</v>
      </c>
      <c r="B7" s="8">
        <f t="shared" si="0"/>
        <v>0.5</v>
      </c>
    </row>
    <row r="8" spans="1:2" x14ac:dyDescent="0.4">
      <c r="A8" s="8">
        <v>1.5</v>
      </c>
      <c r="B8" s="8">
        <f t="shared" si="0"/>
        <v>0.30769230769230771</v>
      </c>
    </row>
    <row r="9" spans="1:2" x14ac:dyDescent="0.4">
      <c r="A9" s="8">
        <v>2</v>
      </c>
      <c r="B9" s="8">
        <f t="shared" si="0"/>
        <v>0.2</v>
      </c>
    </row>
    <row r="10" spans="1:2" x14ac:dyDescent="0.4">
      <c r="A10" s="8">
        <v>2.5</v>
      </c>
      <c r="B10" s="8">
        <f t="shared" si="0"/>
        <v>0.13793103448275862</v>
      </c>
    </row>
    <row r="11" spans="1:2" x14ac:dyDescent="0.4">
      <c r="A11" s="8">
        <v>3</v>
      </c>
      <c r="B11" s="8">
        <f t="shared" si="0"/>
        <v>0.1</v>
      </c>
    </row>
    <row r="12" spans="1:2" x14ac:dyDescent="0.4">
      <c r="A12" s="8">
        <v>3.5</v>
      </c>
      <c r="B12" s="8">
        <f t="shared" si="0"/>
        <v>7.5471698113207544E-2</v>
      </c>
    </row>
    <row r="13" spans="1:2" x14ac:dyDescent="0.4">
      <c r="A13" s="12">
        <v>4</v>
      </c>
      <c r="B13" s="12">
        <f t="shared" si="0"/>
        <v>5.8823529411764705E-2</v>
      </c>
    </row>
    <row r="15" spans="1:2" x14ac:dyDescent="0.4">
      <c r="A15" s="62" t="s">
        <v>0</v>
      </c>
      <c r="B15" s="71">
        <v>0</v>
      </c>
    </row>
    <row r="16" spans="1:2" x14ac:dyDescent="0.4">
      <c r="A16" s="62" t="s">
        <v>1</v>
      </c>
      <c r="B16" s="71">
        <v>4</v>
      </c>
    </row>
    <row r="18" spans="1:2" x14ac:dyDescent="0.4">
      <c r="A18" s="62" t="s">
        <v>62</v>
      </c>
      <c r="B18" s="1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Ex11.Start_2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Ex11.Clear_2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4AFCC-35A5-4755-9501-47D7A825DA85}">
  <sheetPr codeName="Sheet21"/>
  <dimension ref="A1:C17"/>
  <sheetViews>
    <sheetView workbookViewId="0">
      <selection activeCell="B17" sqref="B17"/>
    </sheetView>
  </sheetViews>
  <sheetFormatPr defaultRowHeight="18.75" x14ac:dyDescent="0.4"/>
  <cols>
    <col min="2" max="3" width="12.625" customWidth="1"/>
  </cols>
  <sheetData>
    <row r="1" spans="1:3" x14ac:dyDescent="0.4">
      <c r="A1" t="s">
        <v>68</v>
      </c>
    </row>
    <row r="3" spans="1:3" x14ac:dyDescent="0.4">
      <c r="A3" s="62" t="s">
        <v>10</v>
      </c>
      <c r="B3" s="62" t="s">
        <v>66</v>
      </c>
      <c r="C3" s="62" t="s">
        <v>37</v>
      </c>
    </row>
    <row r="4" spans="1:3" x14ac:dyDescent="0.4">
      <c r="A4" s="4">
        <v>0</v>
      </c>
      <c r="B4" s="4">
        <f>1 / (1 + A4^ 2)</f>
        <v>1</v>
      </c>
      <c r="C4" s="13">
        <f t="array" ref="C4:C12">_xll.WPchse(9,A4:A12,B4:B12)</f>
        <v>-0.12126947749683437</v>
      </c>
    </row>
    <row r="5" spans="1:3" x14ac:dyDescent="0.4">
      <c r="A5" s="8">
        <v>0.5</v>
      </c>
      <c r="B5" s="8">
        <f t="shared" ref="B5:B12" si="0">1 / (1 + A5^ 2)</f>
        <v>0.8</v>
      </c>
      <c r="C5" s="14">
        <v>-0.58936526125158273</v>
      </c>
    </row>
    <row r="6" spans="1:3" x14ac:dyDescent="0.4">
      <c r="A6" s="8">
        <v>1</v>
      </c>
      <c r="B6" s="8">
        <f t="shared" si="0"/>
        <v>0.5</v>
      </c>
      <c r="C6" s="14">
        <v>-0.52126947749683472</v>
      </c>
    </row>
    <row r="7" spans="1:3" x14ac:dyDescent="0.4">
      <c r="A7" s="8">
        <v>1.5</v>
      </c>
      <c r="B7" s="8">
        <f t="shared" si="0"/>
        <v>0.30769230769230771</v>
      </c>
      <c r="C7" s="14">
        <v>-0.27940298260723245</v>
      </c>
    </row>
    <row r="8" spans="1:3" x14ac:dyDescent="0.4">
      <c r="A8" s="8">
        <v>2</v>
      </c>
      <c r="B8" s="8">
        <f t="shared" si="0"/>
        <v>0.2</v>
      </c>
      <c r="C8" s="14">
        <v>-0.16111859207423532</v>
      </c>
    </row>
    <row r="9" spans="1:3" x14ac:dyDescent="0.4">
      <c r="A9" s="8">
        <v>2.5</v>
      </c>
      <c r="B9" s="8">
        <f t="shared" si="0"/>
        <v>0.13793103448275862</v>
      </c>
      <c r="C9" s="14">
        <v>-9.4690288353120974E-2</v>
      </c>
    </row>
    <row r="10" spans="1:3" x14ac:dyDescent="0.4">
      <c r="A10" s="8">
        <v>3</v>
      </c>
      <c r="B10" s="8">
        <f t="shared" si="0"/>
        <v>0.1</v>
      </c>
      <c r="C10" s="14">
        <v>-6.0120254513280832E-2</v>
      </c>
    </row>
    <row r="11" spans="1:3" x14ac:dyDescent="0.4">
      <c r="A11" s="8">
        <v>3.5</v>
      </c>
      <c r="B11" s="8">
        <f t="shared" si="0"/>
        <v>7.5471698113207544E-2</v>
      </c>
      <c r="C11" s="14">
        <v>-3.9584711811062157E-2</v>
      </c>
    </row>
    <row r="12" spans="1:3" x14ac:dyDescent="0.4">
      <c r="A12" s="12">
        <v>4</v>
      </c>
      <c r="B12" s="12">
        <f t="shared" si="0"/>
        <v>5.8823529411764705E-2</v>
      </c>
      <c r="C12" s="15">
        <v>-2.8599721771882348E-2</v>
      </c>
    </row>
    <row r="14" spans="1:3" x14ac:dyDescent="0.4">
      <c r="A14" s="62" t="s">
        <v>0</v>
      </c>
      <c r="B14" s="71">
        <v>0</v>
      </c>
    </row>
    <row r="15" spans="1:3" x14ac:dyDescent="0.4">
      <c r="A15" s="62" t="s">
        <v>1</v>
      </c>
      <c r="B15" s="71">
        <v>4</v>
      </c>
    </row>
    <row r="17" spans="1:2" x14ac:dyDescent="0.4">
      <c r="A17" s="62" t="s">
        <v>62</v>
      </c>
      <c r="B17" s="16">
        <f>_xll.WPchia(B14,B15,9,A4:A12,B4:B12,C4:C12)</f>
        <v>1.3233227825861418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11E6-8D53-41AB-B11A-F9642643C1A3}">
  <sheetPr codeName="Sheet22"/>
  <dimension ref="A1:D25"/>
  <sheetViews>
    <sheetView workbookViewId="0"/>
  </sheetViews>
  <sheetFormatPr defaultRowHeight="18.75" x14ac:dyDescent="0.4"/>
  <cols>
    <col min="2" max="2" width="12.625" customWidth="1"/>
    <col min="4" max="4" width="12.625" customWidth="1"/>
  </cols>
  <sheetData>
    <row r="1" spans="1:4" x14ac:dyDescent="0.4">
      <c r="A1" t="s">
        <v>72</v>
      </c>
      <c r="B1" s="76"/>
      <c r="D1" s="76"/>
    </row>
    <row r="2" spans="1:4" x14ac:dyDescent="0.4">
      <c r="B2" s="76"/>
      <c r="D2" s="76"/>
    </row>
    <row r="3" spans="1:4" x14ac:dyDescent="0.4">
      <c r="B3" s="76"/>
      <c r="D3" s="76"/>
    </row>
    <row r="4" spans="1:4" x14ac:dyDescent="0.4">
      <c r="A4" s="62" t="s">
        <v>73</v>
      </c>
      <c r="B4" s="77" t="s">
        <v>74</v>
      </c>
      <c r="C4" s="62" t="s">
        <v>64</v>
      </c>
      <c r="D4" s="77" t="s">
        <v>75</v>
      </c>
    </row>
    <row r="5" spans="1:4" x14ac:dyDescent="0.4">
      <c r="A5" s="71">
        <v>0</v>
      </c>
      <c r="B5" s="71">
        <v>0.5</v>
      </c>
      <c r="C5" s="20"/>
      <c r="D5" s="20">
        <f>1/(2-A5)</f>
        <v>0.5</v>
      </c>
    </row>
    <row r="6" spans="1:4" x14ac:dyDescent="0.4">
      <c r="A6" s="4">
        <f>A5+0.1</f>
        <v>0.1</v>
      </c>
      <c r="B6" s="13"/>
      <c r="C6" s="13"/>
      <c r="D6" s="17">
        <f t="shared" ref="D6:D22" si="0">1/(2-A6)</f>
        <v>0.52631578947368418</v>
      </c>
    </row>
    <row r="7" spans="1:4" x14ac:dyDescent="0.4">
      <c r="A7" s="8">
        <f t="shared" ref="A7:A24" si="1">A6+0.1</f>
        <v>0.2</v>
      </c>
      <c r="B7" s="14"/>
      <c r="C7" s="14"/>
      <c r="D7" s="18">
        <f t="shared" si="0"/>
        <v>0.55555555555555558</v>
      </c>
    </row>
    <row r="8" spans="1:4" x14ac:dyDescent="0.4">
      <c r="A8" s="8">
        <f t="shared" si="1"/>
        <v>0.30000000000000004</v>
      </c>
      <c r="B8" s="14"/>
      <c r="C8" s="14"/>
      <c r="D8" s="18">
        <f t="shared" si="0"/>
        <v>0.58823529411764708</v>
      </c>
    </row>
    <row r="9" spans="1:4" x14ac:dyDescent="0.4">
      <c r="A9" s="8">
        <f t="shared" si="1"/>
        <v>0.4</v>
      </c>
      <c r="B9" s="14"/>
      <c r="C9" s="14"/>
      <c r="D9" s="18">
        <f t="shared" si="0"/>
        <v>0.625</v>
      </c>
    </row>
    <row r="10" spans="1:4" x14ac:dyDescent="0.4">
      <c r="A10" s="8">
        <f t="shared" si="1"/>
        <v>0.5</v>
      </c>
      <c r="B10" s="14"/>
      <c r="C10" s="14"/>
      <c r="D10" s="18">
        <f t="shared" si="0"/>
        <v>0.66666666666666663</v>
      </c>
    </row>
    <row r="11" spans="1:4" x14ac:dyDescent="0.4">
      <c r="A11" s="8">
        <f t="shared" si="1"/>
        <v>0.6</v>
      </c>
      <c r="B11" s="14"/>
      <c r="C11" s="14"/>
      <c r="D11" s="18">
        <f t="shared" si="0"/>
        <v>0.7142857142857143</v>
      </c>
    </row>
    <row r="12" spans="1:4" x14ac:dyDescent="0.4">
      <c r="A12" s="8">
        <f t="shared" si="1"/>
        <v>0.7</v>
      </c>
      <c r="B12" s="14"/>
      <c r="C12" s="14"/>
      <c r="D12" s="18">
        <f t="shared" si="0"/>
        <v>0.76923076923076916</v>
      </c>
    </row>
    <row r="13" spans="1:4" x14ac:dyDescent="0.4">
      <c r="A13" s="8">
        <f t="shared" si="1"/>
        <v>0.79999999999999993</v>
      </c>
      <c r="B13" s="14"/>
      <c r="C13" s="14"/>
      <c r="D13" s="18">
        <f t="shared" si="0"/>
        <v>0.83333333333333326</v>
      </c>
    </row>
    <row r="14" spans="1:4" x14ac:dyDescent="0.4">
      <c r="A14" s="8">
        <f t="shared" si="1"/>
        <v>0.89999999999999991</v>
      </c>
      <c r="B14" s="14"/>
      <c r="C14" s="14"/>
      <c r="D14" s="18">
        <f t="shared" si="0"/>
        <v>0.90909090909090906</v>
      </c>
    </row>
    <row r="15" spans="1:4" x14ac:dyDescent="0.4">
      <c r="A15" s="12">
        <f t="shared" si="1"/>
        <v>0.99999999999999989</v>
      </c>
      <c r="B15" s="15"/>
      <c r="C15" s="15"/>
      <c r="D15" s="19">
        <f t="shared" si="0"/>
        <v>1</v>
      </c>
    </row>
    <row r="16" spans="1:4" x14ac:dyDescent="0.4">
      <c r="A16" s="4">
        <f t="shared" si="1"/>
        <v>1.0999999999999999</v>
      </c>
      <c r="B16" s="13"/>
      <c r="C16" s="13"/>
      <c r="D16" s="17">
        <f t="shared" si="0"/>
        <v>1.1111111111111109</v>
      </c>
    </row>
    <row r="17" spans="1:4" x14ac:dyDescent="0.4">
      <c r="A17" s="8">
        <f t="shared" si="1"/>
        <v>1.2</v>
      </c>
      <c r="B17" s="14"/>
      <c r="C17" s="14"/>
      <c r="D17" s="18">
        <f t="shared" si="0"/>
        <v>1.25</v>
      </c>
    </row>
    <row r="18" spans="1:4" x14ac:dyDescent="0.4">
      <c r="A18" s="8">
        <f t="shared" si="1"/>
        <v>1.3</v>
      </c>
      <c r="B18" s="14"/>
      <c r="C18" s="14"/>
      <c r="D18" s="18">
        <f t="shared" si="0"/>
        <v>1.4285714285714286</v>
      </c>
    </row>
    <row r="19" spans="1:4" x14ac:dyDescent="0.4">
      <c r="A19" s="8">
        <f t="shared" si="1"/>
        <v>1.4000000000000001</v>
      </c>
      <c r="B19" s="14"/>
      <c r="C19" s="14"/>
      <c r="D19" s="18">
        <f t="shared" si="0"/>
        <v>1.666666666666667</v>
      </c>
    </row>
    <row r="20" spans="1:4" x14ac:dyDescent="0.4">
      <c r="A20" s="8">
        <f t="shared" si="1"/>
        <v>1.5000000000000002</v>
      </c>
      <c r="B20" s="14"/>
      <c r="C20" s="14"/>
      <c r="D20" s="18">
        <f t="shared" si="0"/>
        <v>2.0000000000000009</v>
      </c>
    </row>
    <row r="21" spans="1:4" x14ac:dyDescent="0.4">
      <c r="A21" s="8">
        <f t="shared" si="1"/>
        <v>1.6000000000000003</v>
      </c>
      <c r="B21" s="14"/>
      <c r="C21" s="14"/>
      <c r="D21" s="18">
        <f t="shared" si="0"/>
        <v>2.5000000000000018</v>
      </c>
    </row>
    <row r="22" spans="1:4" x14ac:dyDescent="0.4">
      <c r="A22" s="8">
        <f t="shared" si="1"/>
        <v>1.7000000000000004</v>
      </c>
      <c r="B22" s="14"/>
      <c r="C22" s="14"/>
      <c r="D22" s="18">
        <f t="shared" si="0"/>
        <v>3.3333333333333379</v>
      </c>
    </row>
    <row r="23" spans="1:4" x14ac:dyDescent="0.4">
      <c r="A23" s="8">
        <f t="shared" si="1"/>
        <v>1.8000000000000005</v>
      </c>
      <c r="B23" s="14"/>
      <c r="C23" s="14"/>
      <c r="D23" s="18">
        <f t="shared" ref="D23" si="2">1/(2-A23)</f>
        <v>5.0000000000000124</v>
      </c>
    </row>
    <row r="24" spans="1:4" x14ac:dyDescent="0.4">
      <c r="A24" s="12">
        <f t="shared" si="1"/>
        <v>1.9000000000000006</v>
      </c>
      <c r="B24" s="15"/>
      <c r="C24" s="15"/>
      <c r="D24" s="19">
        <f t="shared" ref="D24" si="3">1/(2-A24)</f>
        <v>10.000000000000057</v>
      </c>
    </row>
    <row r="25" spans="1:4" x14ac:dyDescent="0.4">
      <c r="C25">
        <f>SUM(C6:C24)</f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Ex12.Star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Ex12.Clear">
                <anchor moveWithCells="1" sizeWithCells="1">
                  <from>
                    <xdr:col>3</xdr:col>
                    <xdr:colOff>257175</xdr:colOff>
                    <xdr:row>1</xdr:row>
                    <xdr:rowOff>0</xdr:rowOff>
                  </from>
                  <to>
                    <xdr:col>3</xdr:col>
                    <xdr:colOff>952500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tart_d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56CE-45BC-462F-9DB7-6B4277650D22}">
  <sheetPr codeName="Sheet23"/>
  <dimension ref="A1:F23"/>
  <sheetViews>
    <sheetView workbookViewId="0"/>
  </sheetViews>
  <sheetFormatPr defaultRowHeight="18.75" x14ac:dyDescent="0.4"/>
  <cols>
    <col min="5" max="6" width="12.625" customWidth="1"/>
  </cols>
  <sheetData>
    <row r="1" spans="1:6" x14ac:dyDescent="0.4">
      <c r="A1" t="s">
        <v>81</v>
      </c>
      <c r="B1" s="76"/>
      <c r="D1" s="76"/>
    </row>
    <row r="2" spans="1:6" x14ac:dyDescent="0.4">
      <c r="B2" s="76"/>
      <c r="D2" s="76"/>
    </row>
    <row r="3" spans="1:6" x14ac:dyDescent="0.4">
      <c r="A3" s="67" t="s">
        <v>76</v>
      </c>
      <c r="B3" s="20">
        <v>2</v>
      </c>
      <c r="D3" s="70" t="s">
        <v>73</v>
      </c>
      <c r="E3" s="70" t="s">
        <v>74</v>
      </c>
      <c r="F3" s="70" t="s">
        <v>75</v>
      </c>
    </row>
    <row r="4" spans="1:6" x14ac:dyDescent="0.4">
      <c r="A4" s="67" t="s">
        <v>77</v>
      </c>
      <c r="B4" s="16"/>
      <c r="D4" s="71">
        <v>0</v>
      </c>
      <c r="E4" s="71">
        <v>0.5</v>
      </c>
      <c r="F4" s="20">
        <f>1/(2-D4)</f>
        <v>0.5</v>
      </c>
    </row>
    <row r="5" spans="1:6" x14ac:dyDescent="0.4">
      <c r="A5" s="67" t="s">
        <v>78</v>
      </c>
      <c r="B5" s="16"/>
      <c r="D5" s="4">
        <f>D4+0.1</f>
        <v>0.1</v>
      </c>
      <c r="E5" s="13"/>
      <c r="F5" s="17">
        <f t="shared" ref="F5:F22" si="0">1/(2-D5)</f>
        <v>0.52631578947368418</v>
      </c>
    </row>
    <row r="6" spans="1:6" x14ac:dyDescent="0.4">
      <c r="A6" s="67" t="s">
        <v>79</v>
      </c>
      <c r="B6" s="71">
        <f>1/(2-B4)^2</f>
        <v>0.25</v>
      </c>
      <c r="D6" s="8">
        <f t="shared" ref="D6:D23" si="1">D5+0.1</f>
        <v>0.2</v>
      </c>
      <c r="E6" s="14"/>
      <c r="F6" s="18">
        <f t="shared" si="0"/>
        <v>0.55555555555555558</v>
      </c>
    </row>
    <row r="7" spans="1:6" x14ac:dyDescent="0.4">
      <c r="D7" s="8">
        <f t="shared" si="1"/>
        <v>0.30000000000000004</v>
      </c>
      <c r="E7" s="14"/>
      <c r="F7" s="18">
        <f t="shared" si="0"/>
        <v>0.58823529411764708</v>
      </c>
    </row>
    <row r="8" spans="1:6" x14ac:dyDescent="0.4">
      <c r="D8" s="8">
        <f t="shared" si="1"/>
        <v>0.4</v>
      </c>
      <c r="E8" s="14"/>
      <c r="F8" s="18">
        <f t="shared" si="0"/>
        <v>0.625</v>
      </c>
    </row>
    <row r="9" spans="1:6" x14ac:dyDescent="0.4">
      <c r="A9" s="86">
        <v>1</v>
      </c>
      <c r="D9" s="8">
        <f t="shared" si="1"/>
        <v>0.5</v>
      </c>
      <c r="E9" s="14"/>
      <c r="F9" s="18">
        <f t="shared" si="0"/>
        <v>0.66666666666666663</v>
      </c>
    </row>
    <row r="10" spans="1:6" x14ac:dyDescent="0.4">
      <c r="A10" s="87" t="s">
        <v>70</v>
      </c>
      <c r="D10" s="8">
        <f t="shared" si="1"/>
        <v>0.6</v>
      </c>
      <c r="E10" s="14"/>
      <c r="F10" s="18">
        <f t="shared" si="0"/>
        <v>0.7142857142857143</v>
      </c>
    </row>
    <row r="11" spans="1:6" x14ac:dyDescent="0.4">
      <c r="A11" s="87" t="s">
        <v>80</v>
      </c>
      <c r="D11" s="8">
        <f t="shared" si="1"/>
        <v>0.7</v>
      </c>
      <c r="E11" s="14"/>
      <c r="F11" s="18">
        <f t="shared" si="0"/>
        <v>0.76923076923076916</v>
      </c>
    </row>
    <row r="12" spans="1:6" x14ac:dyDescent="0.4">
      <c r="A12" s="87" t="s">
        <v>52</v>
      </c>
      <c r="D12" s="8">
        <f t="shared" si="1"/>
        <v>0.79999999999999993</v>
      </c>
      <c r="E12" s="14"/>
      <c r="F12" s="18">
        <f t="shared" si="0"/>
        <v>0.83333333333333326</v>
      </c>
    </row>
    <row r="13" spans="1:6" x14ac:dyDescent="0.4">
      <c r="A13" s="87" t="s">
        <v>113</v>
      </c>
      <c r="D13" s="8">
        <f t="shared" si="1"/>
        <v>0.89999999999999991</v>
      </c>
      <c r="E13" s="14"/>
      <c r="F13" s="18">
        <f t="shared" si="0"/>
        <v>0.90909090909090906</v>
      </c>
    </row>
    <row r="14" spans="1:6" x14ac:dyDescent="0.4">
      <c r="A14" s="87">
        <v>1E-8</v>
      </c>
      <c r="D14" s="12">
        <f t="shared" si="1"/>
        <v>0.99999999999999989</v>
      </c>
      <c r="E14" s="15"/>
      <c r="F14" s="19">
        <f t="shared" si="0"/>
        <v>1</v>
      </c>
    </row>
    <row r="15" spans="1:6" x14ac:dyDescent="0.4">
      <c r="A15" s="88">
        <v>1</v>
      </c>
      <c r="D15" s="4">
        <f t="shared" si="1"/>
        <v>1.0999999999999999</v>
      </c>
      <c r="E15" s="13"/>
      <c r="F15" s="17">
        <f t="shared" si="0"/>
        <v>1.1111111111111109</v>
      </c>
    </row>
    <row r="16" spans="1:6" x14ac:dyDescent="0.4">
      <c r="D16" s="8">
        <f t="shared" si="1"/>
        <v>1.2</v>
      </c>
      <c r="E16" s="14"/>
      <c r="F16" s="18">
        <f t="shared" si="0"/>
        <v>1.25</v>
      </c>
    </row>
    <row r="17" spans="4:6" x14ac:dyDescent="0.4">
      <c r="D17" s="8">
        <f t="shared" si="1"/>
        <v>1.3</v>
      </c>
      <c r="E17" s="14"/>
      <c r="F17" s="18">
        <f t="shared" si="0"/>
        <v>1.4285714285714286</v>
      </c>
    </row>
    <row r="18" spans="4:6" x14ac:dyDescent="0.4">
      <c r="D18" s="8">
        <f t="shared" si="1"/>
        <v>1.4000000000000001</v>
      </c>
      <c r="E18" s="14"/>
      <c r="F18" s="18">
        <f t="shared" si="0"/>
        <v>1.666666666666667</v>
      </c>
    </row>
    <row r="19" spans="4:6" x14ac:dyDescent="0.4">
      <c r="D19" s="8">
        <f t="shared" si="1"/>
        <v>1.5000000000000002</v>
      </c>
      <c r="E19" s="14"/>
      <c r="F19" s="18">
        <f t="shared" si="0"/>
        <v>2.0000000000000009</v>
      </c>
    </row>
    <row r="20" spans="4:6" x14ac:dyDescent="0.4">
      <c r="D20" s="8">
        <f t="shared" si="1"/>
        <v>1.6000000000000003</v>
      </c>
      <c r="E20" s="14"/>
      <c r="F20" s="18">
        <f t="shared" si="0"/>
        <v>2.5000000000000018</v>
      </c>
    </row>
    <row r="21" spans="4:6" x14ac:dyDescent="0.4">
      <c r="D21" s="8">
        <f t="shared" si="1"/>
        <v>1.7000000000000004</v>
      </c>
      <c r="E21" s="14"/>
      <c r="F21" s="18">
        <f t="shared" si="0"/>
        <v>3.3333333333333379</v>
      </c>
    </row>
    <row r="22" spans="4:6" x14ac:dyDescent="0.4">
      <c r="D22" s="8">
        <f t="shared" si="1"/>
        <v>1.8000000000000005</v>
      </c>
      <c r="E22" s="14"/>
      <c r="F22" s="18">
        <f t="shared" si="0"/>
        <v>5.0000000000000124</v>
      </c>
    </row>
    <row r="23" spans="4:6" x14ac:dyDescent="0.4">
      <c r="D23" s="12">
        <f t="shared" si="1"/>
        <v>1.9000000000000006</v>
      </c>
      <c r="E23" s="15"/>
      <c r="F23" s="19">
        <f t="shared" ref="F23" si="2">1/(2-D23)</f>
        <v>10.000000000000057</v>
      </c>
    </row>
  </sheetData>
  <phoneticPr fontId="1"/>
  <dataValidations count="1">
    <dataValidation type="whole" allowBlank="1" showInputMessage="1" showErrorMessage="1" sqref="B3" xr:uid="{F092F232-F053-4D4E-8147-2DA74BF6C45A}">
      <formula1>1</formula1>
      <formula2>4</formula2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E54C-2406-4D97-BE62-EA23CD141896}">
  <sheetPr codeName="Sheet29"/>
  <dimension ref="A1:D24"/>
  <sheetViews>
    <sheetView workbookViewId="0"/>
  </sheetViews>
  <sheetFormatPr defaultRowHeight="18.75" x14ac:dyDescent="0.4"/>
  <cols>
    <col min="2" max="3" width="12.625" customWidth="1"/>
  </cols>
  <sheetData>
    <row r="1" spans="1:4" x14ac:dyDescent="0.4">
      <c r="A1" t="s">
        <v>111</v>
      </c>
      <c r="B1" s="76"/>
      <c r="C1" s="76"/>
    </row>
    <row r="2" spans="1:4" x14ac:dyDescent="0.4">
      <c r="B2" s="76"/>
      <c r="C2" s="76"/>
    </row>
    <row r="3" spans="1:4" x14ac:dyDescent="0.4">
      <c r="B3" s="76"/>
      <c r="C3" s="76"/>
    </row>
    <row r="4" spans="1:4" x14ac:dyDescent="0.4">
      <c r="A4" s="62" t="s">
        <v>73</v>
      </c>
      <c r="B4" s="78" t="s">
        <v>100</v>
      </c>
      <c r="C4" s="82" t="s">
        <v>101</v>
      </c>
      <c r="D4" s="62" t="s">
        <v>64</v>
      </c>
    </row>
    <row r="5" spans="1:4" x14ac:dyDescent="0.4">
      <c r="A5" s="71">
        <v>0</v>
      </c>
      <c r="B5" s="68">
        <v>1</v>
      </c>
      <c r="C5" s="69">
        <v>2</v>
      </c>
      <c r="D5" s="20"/>
    </row>
    <row r="6" spans="1:4" x14ac:dyDescent="0.4">
      <c r="A6" s="4">
        <f>A5+0.5</f>
        <v>0.5</v>
      </c>
      <c r="B6" s="46"/>
      <c r="C6" s="47"/>
      <c r="D6" s="13"/>
    </row>
    <row r="7" spans="1:4" x14ac:dyDescent="0.4">
      <c r="A7" s="8">
        <f t="shared" ref="A7:A24" si="0">A6+0.5</f>
        <v>1</v>
      </c>
      <c r="B7" s="48"/>
      <c r="C7" s="49"/>
      <c r="D7" s="14"/>
    </row>
    <row r="8" spans="1:4" x14ac:dyDescent="0.4">
      <c r="A8" s="8">
        <f t="shared" si="0"/>
        <v>1.5</v>
      </c>
      <c r="B8" s="48"/>
      <c r="C8" s="49"/>
      <c r="D8" s="14"/>
    </row>
    <row r="9" spans="1:4" x14ac:dyDescent="0.4">
      <c r="A9" s="8">
        <f t="shared" si="0"/>
        <v>2</v>
      </c>
      <c r="B9" s="48"/>
      <c r="C9" s="49"/>
      <c r="D9" s="14"/>
    </row>
    <row r="10" spans="1:4" x14ac:dyDescent="0.4">
      <c r="A10" s="8">
        <f t="shared" si="0"/>
        <v>2.5</v>
      </c>
      <c r="B10" s="48"/>
      <c r="C10" s="49"/>
      <c r="D10" s="14"/>
    </row>
    <row r="11" spans="1:4" x14ac:dyDescent="0.4">
      <c r="A11" s="8">
        <f t="shared" si="0"/>
        <v>3</v>
      </c>
      <c r="B11" s="48"/>
      <c r="C11" s="49"/>
      <c r="D11" s="14"/>
    </row>
    <row r="12" spans="1:4" x14ac:dyDescent="0.4">
      <c r="A12" s="8">
        <f t="shared" si="0"/>
        <v>3.5</v>
      </c>
      <c r="B12" s="48"/>
      <c r="C12" s="49"/>
      <c r="D12" s="14"/>
    </row>
    <row r="13" spans="1:4" x14ac:dyDescent="0.4">
      <c r="A13" s="8">
        <f t="shared" si="0"/>
        <v>4</v>
      </c>
      <c r="B13" s="48"/>
      <c r="C13" s="49"/>
      <c r="D13" s="14"/>
    </row>
    <row r="14" spans="1:4" x14ac:dyDescent="0.4">
      <c r="A14" s="8">
        <f t="shared" si="0"/>
        <v>4.5</v>
      </c>
      <c r="B14" s="48"/>
      <c r="C14" s="49"/>
      <c r="D14" s="14"/>
    </row>
    <row r="15" spans="1:4" x14ac:dyDescent="0.4">
      <c r="A15" s="12">
        <f t="shared" si="0"/>
        <v>5</v>
      </c>
      <c r="B15" s="50"/>
      <c r="C15" s="51"/>
      <c r="D15" s="15"/>
    </row>
    <row r="16" spans="1:4" x14ac:dyDescent="0.4">
      <c r="A16" s="4">
        <f t="shared" si="0"/>
        <v>5.5</v>
      </c>
      <c r="B16" s="46"/>
      <c r="C16" s="47"/>
      <c r="D16" s="13"/>
    </row>
    <row r="17" spans="1:4" x14ac:dyDescent="0.4">
      <c r="A17" s="8">
        <f t="shared" si="0"/>
        <v>6</v>
      </c>
      <c r="B17" s="48"/>
      <c r="C17" s="49"/>
      <c r="D17" s="14"/>
    </row>
    <row r="18" spans="1:4" x14ac:dyDescent="0.4">
      <c r="A18" s="8">
        <f t="shared" si="0"/>
        <v>6.5</v>
      </c>
      <c r="B18" s="48"/>
      <c r="C18" s="49"/>
      <c r="D18" s="14"/>
    </row>
    <row r="19" spans="1:4" x14ac:dyDescent="0.4">
      <c r="A19" s="8">
        <f t="shared" si="0"/>
        <v>7</v>
      </c>
      <c r="B19" s="48"/>
      <c r="C19" s="49"/>
      <c r="D19" s="14"/>
    </row>
    <row r="20" spans="1:4" x14ac:dyDescent="0.4">
      <c r="A20" s="8">
        <f t="shared" si="0"/>
        <v>7.5</v>
      </c>
      <c r="B20" s="48"/>
      <c r="C20" s="49"/>
      <c r="D20" s="14"/>
    </row>
    <row r="21" spans="1:4" x14ac:dyDescent="0.4">
      <c r="A21" s="8">
        <f t="shared" si="0"/>
        <v>8</v>
      </c>
      <c r="B21" s="48"/>
      <c r="C21" s="49"/>
      <c r="D21" s="14"/>
    </row>
    <row r="22" spans="1:4" x14ac:dyDescent="0.4">
      <c r="A22" s="8">
        <f t="shared" si="0"/>
        <v>8.5</v>
      </c>
      <c r="B22" s="48"/>
      <c r="C22" s="49"/>
      <c r="D22" s="14"/>
    </row>
    <row r="23" spans="1:4" x14ac:dyDescent="0.4">
      <c r="A23" s="8">
        <f t="shared" si="0"/>
        <v>9</v>
      </c>
      <c r="B23" s="48"/>
      <c r="C23" s="49"/>
      <c r="D23" s="14"/>
    </row>
    <row r="24" spans="1:4" x14ac:dyDescent="0.4">
      <c r="A24" s="12">
        <f t="shared" si="0"/>
        <v>9.5</v>
      </c>
      <c r="B24" s="50"/>
      <c r="C24" s="51"/>
      <c r="D24" s="1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Ex12.Start_2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Ex12.Clear_2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EE23-225A-411E-B807-C186BEF2729E}">
  <sheetPr codeName="Sheet30"/>
  <dimension ref="A1:F23"/>
  <sheetViews>
    <sheetView workbookViewId="0"/>
  </sheetViews>
  <sheetFormatPr defaultRowHeight="18.75" x14ac:dyDescent="0.4"/>
  <cols>
    <col min="5" max="6" width="12.625" customWidth="1"/>
  </cols>
  <sheetData>
    <row r="1" spans="1:6" x14ac:dyDescent="0.4">
      <c r="A1" t="s">
        <v>112</v>
      </c>
      <c r="B1" s="76"/>
      <c r="D1" s="76"/>
    </row>
    <row r="2" spans="1:6" x14ac:dyDescent="0.4">
      <c r="B2" s="76"/>
      <c r="D2" s="76"/>
    </row>
    <row r="3" spans="1:6" x14ac:dyDescent="0.4">
      <c r="A3" s="67" t="s">
        <v>76</v>
      </c>
      <c r="B3" s="20">
        <v>2</v>
      </c>
      <c r="D3" s="70" t="s">
        <v>73</v>
      </c>
      <c r="E3" s="84" t="s">
        <v>100</v>
      </c>
      <c r="F3" s="85" t="s">
        <v>101</v>
      </c>
    </row>
    <row r="4" spans="1:6" x14ac:dyDescent="0.4">
      <c r="A4" s="67" t="s">
        <v>77</v>
      </c>
      <c r="B4" s="16"/>
      <c r="D4" s="71">
        <v>0</v>
      </c>
      <c r="E4" s="68">
        <v>1</v>
      </c>
      <c r="F4" s="69">
        <v>2</v>
      </c>
    </row>
    <row r="5" spans="1:6" x14ac:dyDescent="0.4">
      <c r="A5" s="83" t="s">
        <v>102</v>
      </c>
      <c r="B5" s="13"/>
      <c r="D5" s="4">
        <f>D4+0.5</f>
        <v>0.5</v>
      </c>
      <c r="E5" s="46"/>
      <c r="F5" s="47"/>
    </row>
    <row r="6" spans="1:6" x14ac:dyDescent="0.4">
      <c r="A6" s="72" t="s">
        <v>103</v>
      </c>
      <c r="B6" s="15"/>
      <c r="D6" s="8">
        <f t="shared" ref="D6:D23" si="0">D5+0.5</f>
        <v>1</v>
      </c>
      <c r="E6" s="48"/>
      <c r="F6" s="49"/>
    </row>
    <row r="7" spans="1:6" x14ac:dyDescent="0.4">
      <c r="A7" s="83" t="s">
        <v>104</v>
      </c>
      <c r="B7" s="4">
        <f>-2*B5+B6-COS(B4)</f>
        <v>-1</v>
      </c>
      <c r="D7" s="8">
        <f t="shared" si="0"/>
        <v>1.5</v>
      </c>
      <c r="E7" s="48"/>
      <c r="F7" s="49"/>
    </row>
    <row r="8" spans="1:6" x14ac:dyDescent="0.4">
      <c r="A8" s="72" t="s">
        <v>105</v>
      </c>
      <c r="B8" s="12">
        <f>2*B5-3*B6+3*COS(B4)-SIN(B4)</f>
        <v>3</v>
      </c>
      <c r="D8" s="8">
        <f t="shared" si="0"/>
        <v>2</v>
      </c>
      <c r="E8" s="48"/>
      <c r="F8" s="49"/>
    </row>
    <row r="9" spans="1:6" x14ac:dyDescent="0.4">
      <c r="D9" s="8">
        <f t="shared" si="0"/>
        <v>2.5</v>
      </c>
      <c r="E9" s="48"/>
      <c r="F9" s="49"/>
    </row>
    <row r="10" spans="1:6" x14ac:dyDescent="0.4">
      <c r="D10" s="8">
        <f t="shared" si="0"/>
        <v>3</v>
      </c>
      <c r="E10" s="48"/>
      <c r="F10" s="49"/>
    </row>
    <row r="11" spans="1:6" x14ac:dyDescent="0.4">
      <c r="A11" s="86">
        <v>2</v>
      </c>
      <c r="D11" s="8">
        <f t="shared" si="0"/>
        <v>3.5</v>
      </c>
      <c r="E11" s="48"/>
      <c r="F11" s="49"/>
    </row>
    <row r="12" spans="1:6" x14ac:dyDescent="0.4">
      <c r="A12" s="87" t="s">
        <v>70</v>
      </c>
      <c r="D12" s="8">
        <f t="shared" si="0"/>
        <v>4</v>
      </c>
      <c r="E12" s="48"/>
      <c r="F12" s="49"/>
    </row>
    <row r="13" spans="1:6" x14ac:dyDescent="0.4">
      <c r="A13" s="87" t="s">
        <v>106</v>
      </c>
      <c r="D13" s="8">
        <f t="shared" si="0"/>
        <v>4.5</v>
      </c>
      <c r="E13" s="48"/>
      <c r="F13" s="49"/>
    </row>
    <row r="14" spans="1:6" x14ac:dyDescent="0.4">
      <c r="A14" s="87" t="s">
        <v>107</v>
      </c>
      <c r="D14" s="12">
        <f t="shared" si="0"/>
        <v>5</v>
      </c>
      <c r="E14" s="50"/>
      <c r="F14" s="51"/>
    </row>
    <row r="15" spans="1:6" x14ac:dyDescent="0.4">
      <c r="A15" s="87" t="s">
        <v>114</v>
      </c>
      <c r="D15" s="4">
        <f t="shared" si="0"/>
        <v>5.5</v>
      </c>
      <c r="E15" s="46"/>
      <c r="F15" s="47"/>
    </row>
    <row r="16" spans="1:6" x14ac:dyDescent="0.4">
      <c r="A16" s="87">
        <v>1E-8</v>
      </c>
      <c r="D16" s="8">
        <f t="shared" si="0"/>
        <v>6</v>
      </c>
      <c r="E16" s="48"/>
      <c r="F16" s="49"/>
    </row>
    <row r="17" spans="1:6" x14ac:dyDescent="0.4">
      <c r="A17" s="88">
        <v>1</v>
      </c>
      <c r="D17" s="8">
        <f t="shared" si="0"/>
        <v>6.5</v>
      </c>
      <c r="E17" s="48"/>
      <c r="F17" s="49"/>
    </row>
    <row r="18" spans="1:6" x14ac:dyDescent="0.4">
      <c r="D18" s="8">
        <f t="shared" si="0"/>
        <v>7</v>
      </c>
      <c r="E18" s="48"/>
      <c r="F18" s="49"/>
    </row>
    <row r="19" spans="1:6" x14ac:dyDescent="0.4">
      <c r="D19" s="8">
        <f t="shared" si="0"/>
        <v>7.5</v>
      </c>
      <c r="E19" s="48"/>
      <c r="F19" s="49"/>
    </row>
    <row r="20" spans="1:6" x14ac:dyDescent="0.4">
      <c r="D20" s="8">
        <f t="shared" si="0"/>
        <v>8</v>
      </c>
      <c r="E20" s="48"/>
      <c r="F20" s="49"/>
    </row>
    <row r="21" spans="1:6" x14ac:dyDescent="0.4">
      <c r="D21" s="8">
        <f t="shared" si="0"/>
        <v>8.5</v>
      </c>
      <c r="E21" s="48"/>
      <c r="F21" s="49"/>
    </row>
    <row r="22" spans="1:6" x14ac:dyDescent="0.4">
      <c r="D22" s="8">
        <f t="shared" si="0"/>
        <v>9</v>
      </c>
      <c r="E22" s="48"/>
      <c r="F22" s="49"/>
    </row>
    <row r="23" spans="1:6" x14ac:dyDescent="0.4">
      <c r="D23" s="12">
        <f t="shared" si="0"/>
        <v>9.5</v>
      </c>
      <c r="E23" s="50"/>
      <c r="F23" s="51"/>
    </row>
  </sheetData>
  <phoneticPr fontId="1"/>
  <dataValidations count="1">
    <dataValidation type="whole" allowBlank="1" showInputMessage="1" showErrorMessage="1" sqref="B3" xr:uid="{5148A5AA-23E9-49B5-B479-6CE77C865D06}">
      <formula1>1</formula1>
      <formula2>4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7628-9F71-44A4-B10C-D37465F7CA00}">
  <sheetPr codeName="Sheet24"/>
  <dimension ref="A1:G54"/>
  <sheetViews>
    <sheetView workbookViewId="0"/>
  </sheetViews>
  <sheetFormatPr defaultRowHeight="18.75" x14ac:dyDescent="0.4"/>
  <sheetData>
    <row r="1" spans="1:7" x14ac:dyDescent="0.4">
      <c r="A1" t="s">
        <v>82</v>
      </c>
    </row>
    <row r="3" spans="1:7" x14ac:dyDescent="0.4">
      <c r="A3" s="62" t="s">
        <v>10</v>
      </c>
      <c r="B3" s="62" t="s">
        <v>66</v>
      </c>
      <c r="C3" s="62" t="s">
        <v>83</v>
      </c>
      <c r="D3" s="62" t="s">
        <v>84</v>
      </c>
      <c r="F3" s="62" t="s">
        <v>85</v>
      </c>
      <c r="G3" s="62" t="s">
        <v>86</v>
      </c>
    </row>
    <row r="4" spans="1:7" x14ac:dyDescent="0.4">
      <c r="A4" s="4">
        <v>0</v>
      </c>
      <c r="B4" s="4">
        <f>SIN(2*PI()*1400*A4)+SIN(2*PI()*400*A4)</f>
        <v>0</v>
      </c>
      <c r="C4" s="13">
        <f t="array" ref="C4:C53">_xll.WRfft1f(50,B4:B53)</f>
        <v>6.6506262302867823E-16</v>
      </c>
      <c r="D4" s="13">
        <f t="array" ref="D4:D53">_xll.WRfft1b(50,C4:C53)</f>
        <v>-1.0978489028978794E-17</v>
      </c>
      <c r="F4" s="17">
        <v>0</v>
      </c>
      <c r="G4" s="13">
        <f t="array" ref="G4:G29">PsdR(50,C4:C53)</f>
        <v>2.211541462748929E-29</v>
      </c>
    </row>
    <row r="5" spans="1:7" x14ac:dyDescent="0.4">
      <c r="A5" s="8">
        <v>1E-4</v>
      </c>
      <c r="B5" s="8">
        <f t="shared" ref="B5:B54" si="0">SIN(2*PI()*1400*A5)+SIN(2*PI()*400*A5)</f>
        <v>1.0192031299406441</v>
      </c>
      <c r="C5" s="14">
        <v>5.0983068652399261E-16</v>
      </c>
      <c r="D5" s="14">
        <v>1.0192031299406439</v>
      </c>
      <c r="F5" s="18">
        <f>10000*(A5*10000)/50</f>
        <v>200</v>
      </c>
      <c r="G5" s="14">
        <v>1.3424614717519806E-28</v>
      </c>
    </row>
    <row r="6" spans="1:7" x14ac:dyDescent="0.4">
      <c r="A6" s="8">
        <v>2.0000000000000001E-4</v>
      </c>
      <c r="B6" s="8">
        <f t="shared" si="0"/>
        <v>1.464040924830404</v>
      </c>
      <c r="C6" s="14">
        <v>-2.2605128971289672E-15</v>
      </c>
      <c r="D6" s="14">
        <v>1.4640409248304038</v>
      </c>
      <c r="F6" s="18">
        <f t="shared" ref="F6:F29" si="1">10000*(A6*10000)/50</f>
        <v>400</v>
      </c>
      <c r="G6" s="14">
        <v>24.999999999999979</v>
      </c>
    </row>
    <row r="7" spans="1:7" x14ac:dyDescent="0.4">
      <c r="A7" s="8">
        <v>3.0000000000000003E-4</v>
      </c>
      <c r="B7" s="8">
        <f t="shared" si="0"/>
        <v>1.1663007800304039</v>
      </c>
      <c r="C7" s="14">
        <v>-1.8613679149736446E-15</v>
      </c>
      <c r="D7" s="14">
        <v>1.1663007800304039</v>
      </c>
      <c r="F7" s="18">
        <f t="shared" si="1"/>
        <v>600.00000000000011</v>
      </c>
      <c r="G7" s="14">
        <v>1.1471667988120437E-28</v>
      </c>
    </row>
    <row r="8" spans="1:7" x14ac:dyDescent="0.4">
      <c r="A8" s="8">
        <v>4.0000000000000002E-4</v>
      </c>
      <c r="B8" s="8">
        <f t="shared" si="0"/>
        <v>0.47620337281733716</v>
      </c>
      <c r="C8" s="14">
        <v>0.99999999999999956</v>
      </c>
      <c r="D8" s="14">
        <v>0.47620337281733721</v>
      </c>
      <c r="F8" s="18">
        <f t="shared" si="1"/>
        <v>800</v>
      </c>
      <c r="G8" s="14">
        <v>5.2678694124110081E-29</v>
      </c>
    </row>
    <row r="9" spans="1:7" x14ac:dyDescent="0.4">
      <c r="A9" s="8">
        <v>5.0000000000000001E-4</v>
      </c>
      <c r="B9" s="8">
        <f t="shared" si="0"/>
        <v>0</v>
      </c>
      <c r="C9" s="14">
        <v>-2.0001962538452543E-16</v>
      </c>
      <c r="D9" s="14">
        <v>2.2057540948217648E-16</v>
      </c>
      <c r="F9" s="18">
        <f t="shared" si="1"/>
        <v>1000</v>
      </c>
      <c r="G9" s="14">
        <v>1.6415678922781779E-28</v>
      </c>
    </row>
    <row r="10" spans="1:7" x14ac:dyDescent="0.4">
      <c r="A10" s="8">
        <v>6.0000000000000006E-4</v>
      </c>
      <c r="B10" s="8">
        <f t="shared" si="0"/>
        <v>0.15369880292625659</v>
      </c>
      <c r="C10" s="14">
        <v>2.1327586231707537E-15</v>
      </c>
      <c r="D10" s="14">
        <v>0.15369880292625673</v>
      </c>
      <c r="F10" s="18">
        <f t="shared" si="1"/>
        <v>1200.0000000000002</v>
      </c>
      <c r="G10" s="14">
        <v>1.293451681300351E-27</v>
      </c>
    </row>
    <row r="11" spans="1:7" x14ac:dyDescent="0.4">
      <c r="A11" s="8">
        <v>7.000000000000001E-4</v>
      </c>
      <c r="B11" s="8">
        <f t="shared" si="0"/>
        <v>0.8569540171643848</v>
      </c>
      <c r="C11" s="14">
        <v>1.4054459225406983E-15</v>
      </c>
      <c r="D11" s="14">
        <v>0.85695401716438457</v>
      </c>
      <c r="F11" s="18">
        <f t="shared" si="1"/>
        <v>1400.0000000000002</v>
      </c>
      <c r="G11" s="14">
        <v>25</v>
      </c>
    </row>
    <row r="12" spans="1:7" x14ac:dyDescent="0.4">
      <c r="A12" s="8">
        <v>8.0000000000000015E-4</v>
      </c>
      <c r="B12" s="8">
        <f t="shared" si="0"/>
        <v>1.5893741583947085</v>
      </c>
      <c r="C12" s="14">
        <v>3.6313843610685015E-16</v>
      </c>
      <c r="D12" s="14">
        <v>1.5893741583947081</v>
      </c>
      <c r="F12" s="18">
        <f t="shared" si="1"/>
        <v>1600.0000000000002</v>
      </c>
      <c r="G12" s="14">
        <v>1.2927700170831622E-27</v>
      </c>
    </row>
    <row r="13" spans="1:7" x14ac:dyDescent="0.4">
      <c r="A13" s="8">
        <v>9.0000000000000019E-4</v>
      </c>
      <c r="B13" s="8">
        <f t="shared" si="0"/>
        <v>1.7685399712040604</v>
      </c>
      <c r="C13" s="14">
        <v>2.5508698017344772E-15</v>
      </c>
      <c r="D13" s="14">
        <v>1.7685399712040599</v>
      </c>
      <c r="F13" s="18">
        <f t="shared" si="1"/>
        <v>1800.0000000000002</v>
      </c>
      <c r="G13" s="14">
        <v>1.5228000863122786E-28</v>
      </c>
    </row>
    <row r="14" spans="1:7" x14ac:dyDescent="0.4">
      <c r="A14" s="8">
        <v>1.0000000000000002E-3</v>
      </c>
      <c r="B14" s="8">
        <f t="shared" si="0"/>
        <v>1.1755705045849445</v>
      </c>
      <c r="C14" s="14">
        <v>2.4358740466580041E-16</v>
      </c>
      <c r="D14" s="14">
        <v>1.1755705045849443</v>
      </c>
      <c r="F14" s="18">
        <f t="shared" si="1"/>
        <v>2000.0000000000002</v>
      </c>
      <c r="G14" s="14">
        <v>3.2605157621168984E-29</v>
      </c>
    </row>
    <row r="15" spans="1:7" x14ac:dyDescent="0.4">
      <c r="A15" s="8">
        <v>1.1000000000000003E-3</v>
      </c>
      <c r="B15" s="8">
        <f t="shared" si="0"/>
        <v>0.11943466551982082</v>
      </c>
      <c r="C15" s="14">
        <v>1.052010458557322E-16</v>
      </c>
      <c r="D15" s="14">
        <v>0.11943466551982118</v>
      </c>
      <c r="F15" s="18">
        <f t="shared" si="1"/>
        <v>2200.0000000000005</v>
      </c>
      <c r="G15" s="14">
        <v>1.3847153843612942E-29</v>
      </c>
    </row>
    <row r="16" spans="1:7" x14ac:dyDescent="0.4">
      <c r="A16" s="8">
        <v>1.2000000000000003E-3</v>
      </c>
      <c r="B16" s="8">
        <f t="shared" si="0"/>
        <v>-0.77949381890171732</v>
      </c>
      <c r="C16" s="14">
        <v>-7.1921484962398332E-15</v>
      </c>
      <c r="D16" s="14">
        <v>-0.77949381890171687</v>
      </c>
      <c r="F16" s="18">
        <f t="shared" si="1"/>
        <v>2400.0000000000005</v>
      </c>
      <c r="G16" s="14">
        <v>7.7171301303259643E-30</v>
      </c>
    </row>
    <row r="17" spans="1:7" x14ac:dyDescent="0.4">
      <c r="A17" s="8">
        <v>1.3000000000000004E-3</v>
      </c>
      <c r="B17" s="8">
        <f t="shared" si="0"/>
        <v>-1.0301602860303236</v>
      </c>
      <c r="C17" s="14">
        <v>-7.9672653117731178E-15</v>
      </c>
      <c r="D17" s="14">
        <v>-1.0301602860303238</v>
      </c>
      <c r="F17" s="18">
        <f t="shared" si="1"/>
        <v>2600.0000000000005</v>
      </c>
      <c r="G17" s="14">
        <v>8.2508099862357929E-30</v>
      </c>
    </row>
    <row r="18" spans="1:7" x14ac:dyDescent="0.4">
      <c r="A18" s="8">
        <v>1.4000000000000004E-3</v>
      </c>
      <c r="B18" s="8">
        <f t="shared" si="0"/>
        <v>-0.61681443984953133</v>
      </c>
      <c r="C18" s="14">
        <v>1</v>
      </c>
      <c r="D18" s="14">
        <v>-0.61681443984953133</v>
      </c>
      <c r="F18" s="18">
        <f t="shared" si="1"/>
        <v>2800.0000000000005</v>
      </c>
      <c r="G18" s="14">
        <v>4.5161767827132856E-30</v>
      </c>
    </row>
    <row r="19" spans="1:7" x14ac:dyDescent="0.4">
      <c r="A19" s="8">
        <v>1.5000000000000005E-3</v>
      </c>
      <c r="B19" s="8">
        <f t="shared" si="0"/>
        <v>1.4432899320127035E-15</v>
      </c>
      <c r="C19" s="14">
        <v>2.5268304704459887E-16</v>
      </c>
      <c r="D19" s="14">
        <v>1.1261234884917891E-15</v>
      </c>
      <c r="F19" s="18">
        <f t="shared" si="1"/>
        <v>3000.0000000000014</v>
      </c>
      <c r="G19" s="14">
        <v>4.7391734790396457E-30</v>
      </c>
    </row>
    <row r="20" spans="1:7" x14ac:dyDescent="0.4">
      <c r="A20" s="8">
        <v>1.6000000000000005E-3</v>
      </c>
      <c r="B20" s="8">
        <f t="shared" si="0"/>
        <v>0.22751348565248186</v>
      </c>
      <c r="C20" s="14">
        <v>7.186581382066354E-15</v>
      </c>
      <c r="D20" s="14">
        <v>0.22751348565248181</v>
      </c>
      <c r="F20" s="18">
        <f t="shared" si="1"/>
        <v>3200.0000000000005</v>
      </c>
      <c r="G20" s="14">
        <v>5.1519258600875116E-32</v>
      </c>
    </row>
    <row r="21" spans="1:7" x14ac:dyDescent="0.4">
      <c r="A21" s="8">
        <v>1.7000000000000006E-3</v>
      </c>
      <c r="B21" s="8">
        <f t="shared" si="0"/>
        <v>-0.22027994653733418</v>
      </c>
      <c r="C21" s="14">
        <v>2.4561110804659634E-15</v>
      </c>
      <c r="D21" s="14">
        <v>-0.22027994653733407</v>
      </c>
      <c r="F21" s="18">
        <f t="shared" si="1"/>
        <v>3400.0000000000014</v>
      </c>
      <c r="G21" s="14">
        <v>8.851207299632463E-31</v>
      </c>
    </row>
    <row r="22" spans="1:7" x14ac:dyDescent="0.4">
      <c r="A22" s="8">
        <v>1.8000000000000006E-3</v>
      </c>
      <c r="B22" s="8">
        <f t="shared" si="0"/>
        <v>-1.1076204842929973</v>
      </c>
      <c r="C22" s="14">
        <v>-2.423194289804928E-16</v>
      </c>
      <c r="D22" s="14">
        <v>-1.1076204842929971</v>
      </c>
      <c r="F22" s="18">
        <f t="shared" si="1"/>
        <v>3600.0000000000014</v>
      </c>
      <c r="G22" s="14">
        <v>2.2190775024367365E-31</v>
      </c>
    </row>
    <row r="23" spans="1:7" x14ac:dyDescent="0.4">
      <c r="A23" s="8">
        <v>1.9000000000000006E-3</v>
      </c>
      <c r="B23" s="8">
        <f t="shared" si="0"/>
        <v>-1.8423546539302889</v>
      </c>
      <c r="C23" s="14">
        <v>1.0776465757449976E-15</v>
      </c>
      <c r="D23" s="14">
        <v>-1.8423546539302882</v>
      </c>
      <c r="F23" s="18">
        <f t="shared" si="1"/>
        <v>3800.0000000000014</v>
      </c>
      <c r="G23" s="14">
        <v>1.8275647818689787E-32</v>
      </c>
    </row>
    <row r="24" spans="1:7" x14ac:dyDescent="0.4">
      <c r="A24" s="8">
        <v>2.0000000000000005E-3</v>
      </c>
      <c r="B24" s="8">
        <f t="shared" si="0"/>
        <v>-1.9021130325903057</v>
      </c>
      <c r="C24" s="14">
        <v>-3.7800021512142112E-16</v>
      </c>
      <c r="D24" s="14">
        <v>-1.9021130325903055</v>
      </c>
      <c r="F24" s="18">
        <f t="shared" si="1"/>
        <v>4000.0000000000005</v>
      </c>
      <c r="G24" s="14">
        <v>9.3185332530621369E-31</v>
      </c>
    </row>
    <row r="25" spans="1:7" x14ac:dyDescent="0.4">
      <c r="A25" s="8">
        <v>2.1000000000000003E-3</v>
      </c>
      <c r="B25" s="8">
        <f t="shared" si="0"/>
        <v>-1.2124524781866912</v>
      </c>
      <c r="C25" s="14">
        <v>-2.5164121376738039E-16</v>
      </c>
      <c r="D25" s="14">
        <v>-1.2124524781866914</v>
      </c>
      <c r="F25" s="18">
        <f t="shared" si="1"/>
        <v>4200.0000000000009</v>
      </c>
      <c r="G25" s="14">
        <v>1.1733645881970405E-30</v>
      </c>
    </row>
    <row r="26" spans="1:7" x14ac:dyDescent="0.4">
      <c r="A26" s="8">
        <v>2.2000000000000001E-3</v>
      </c>
      <c r="B26" s="8">
        <f t="shared" si="0"/>
        <v>-0.20279343182697307</v>
      </c>
      <c r="C26" s="14">
        <v>-7.0040192266883255E-16</v>
      </c>
      <c r="D26" s="14">
        <v>-0.20279343182697335</v>
      </c>
      <c r="F26" s="18">
        <f t="shared" si="1"/>
        <v>4400</v>
      </c>
      <c r="G26" s="14">
        <v>1.2800321279007685E-30</v>
      </c>
    </row>
    <row r="27" spans="1:7" x14ac:dyDescent="0.4">
      <c r="A27" s="8">
        <v>2.3E-3</v>
      </c>
      <c r="B27" s="8">
        <f t="shared" si="0"/>
        <v>0.50053357662697306</v>
      </c>
      <c r="C27" s="14">
        <v>-4.3186171861667454E-16</v>
      </c>
      <c r="D27" s="14">
        <v>0.5005335766269734</v>
      </c>
      <c r="F27" s="18">
        <f t="shared" si="1"/>
        <v>4600</v>
      </c>
      <c r="G27" s="14">
        <v>2.3308866192834254E-30</v>
      </c>
    </row>
    <row r="28" spans="1:7" x14ac:dyDescent="0.4">
      <c r="A28" s="8">
        <v>2.3999999999999998E-3</v>
      </c>
      <c r="B28" s="8">
        <f t="shared" si="0"/>
        <v>0.52182335561093574</v>
      </c>
      <c r="C28" s="14">
        <v>3.4954350402559449E-16</v>
      </c>
      <c r="D28" s="14">
        <v>0.52182335561093585</v>
      </c>
      <c r="F28" s="18">
        <f t="shared" si="1"/>
        <v>4799.9999999999991</v>
      </c>
      <c r="G28" s="14">
        <v>1.0903255523095406E-30</v>
      </c>
    </row>
    <row r="29" spans="1:7" x14ac:dyDescent="0.4">
      <c r="A29" s="8">
        <v>2.4999999999999996E-3</v>
      </c>
      <c r="B29" s="8">
        <f t="shared" si="0"/>
        <v>3.2771094865546857E-15</v>
      </c>
      <c r="C29" s="14">
        <v>2.0656968212566339E-16</v>
      </c>
      <c r="D29" s="14">
        <v>3.5697201627802755E-15</v>
      </c>
      <c r="F29" s="38">
        <f t="shared" si="1"/>
        <v>4999.9999999999991</v>
      </c>
      <c r="G29" s="36">
        <v>1.8666842861933632E-31</v>
      </c>
    </row>
    <row r="30" spans="1:7" x14ac:dyDescent="0.4">
      <c r="A30" s="8">
        <v>2.5999999999999994E-3</v>
      </c>
      <c r="B30" s="8">
        <f t="shared" si="0"/>
        <v>-0.52182335561093007</v>
      </c>
      <c r="C30" s="14">
        <v>5.3606097216262076E-16</v>
      </c>
      <c r="D30" s="14">
        <v>-0.52182335561093018</v>
      </c>
      <c r="E30" s="73"/>
      <c r="F30" s="79"/>
      <c r="G30" s="79"/>
    </row>
    <row r="31" spans="1:7" x14ac:dyDescent="0.4">
      <c r="A31" s="8">
        <v>2.6999999999999993E-3</v>
      </c>
      <c r="B31" s="8">
        <f t="shared" si="0"/>
        <v>-0.50053357662697739</v>
      </c>
      <c r="C31" s="14">
        <v>3.3454067332450508E-16</v>
      </c>
      <c r="D31" s="14">
        <v>-0.50053357662697717</v>
      </c>
      <c r="E31" s="73"/>
    </row>
    <row r="32" spans="1:7" x14ac:dyDescent="0.4">
      <c r="A32" s="8">
        <v>2.7999999999999991E-3</v>
      </c>
      <c r="B32" s="8">
        <f t="shared" si="0"/>
        <v>0.20279343182696119</v>
      </c>
      <c r="C32" s="14">
        <v>2.6216332542924116E-16</v>
      </c>
      <c r="D32" s="14">
        <v>0.20279343182696113</v>
      </c>
      <c r="E32" s="73"/>
    </row>
    <row r="33" spans="1:5" x14ac:dyDescent="0.4">
      <c r="A33" s="8">
        <v>2.8999999999999989E-3</v>
      </c>
      <c r="B33" s="8">
        <f t="shared" si="0"/>
        <v>1.212452478186679</v>
      </c>
      <c r="C33" s="14">
        <v>3.9106508840934961E-16</v>
      </c>
      <c r="D33" s="14">
        <v>1.2124524781866786</v>
      </c>
      <c r="E33" s="73"/>
    </row>
    <row r="34" spans="1:5" x14ac:dyDescent="0.4">
      <c r="A34" s="8">
        <v>2.9999999999999988E-3</v>
      </c>
      <c r="B34" s="8">
        <f t="shared" si="0"/>
        <v>1.9021130325903015</v>
      </c>
      <c r="C34" s="14">
        <v>-1.9140281029539091E-16</v>
      </c>
      <c r="D34" s="14">
        <v>1.9021130325903011</v>
      </c>
      <c r="E34" s="73"/>
    </row>
    <row r="35" spans="1:5" x14ac:dyDescent="0.4">
      <c r="A35" s="8">
        <v>3.0999999999999986E-3</v>
      </c>
      <c r="B35" s="8">
        <f t="shared" si="0"/>
        <v>1.8423546539302955</v>
      </c>
      <c r="C35" s="14">
        <v>2.1569201026997056E-17</v>
      </c>
      <c r="D35" s="14">
        <v>1.8423546539302955</v>
      </c>
      <c r="E35" s="73"/>
    </row>
    <row r="36" spans="1:5" x14ac:dyDescent="0.4">
      <c r="A36" s="8">
        <v>3.1999999999999984E-3</v>
      </c>
      <c r="B36" s="8">
        <f t="shared" si="0"/>
        <v>1.1076204842930115</v>
      </c>
      <c r="C36" s="14">
        <v>-3.9944209982073668E-17</v>
      </c>
      <c r="D36" s="14">
        <v>1.1076204842930117</v>
      </c>
      <c r="E36" s="73"/>
    </row>
    <row r="37" spans="1:5" x14ac:dyDescent="0.4">
      <c r="A37" s="8">
        <v>3.2999999999999982E-3</v>
      </c>
      <c r="B37" s="8">
        <f t="shared" si="0"/>
        <v>0.22027994653734706</v>
      </c>
      <c r="C37" s="14">
        <v>1.5589539421091227E-16</v>
      </c>
      <c r="D37" s="14">
        <v>0.22027994653734667</v>
      </c>
      <c r="E37" s="73"/>
    </row>
    <row r="38" spans="1:5" x14ac:dyDescent="0.4">
      <c r="A38" s="8">
        <v>3.3999999999999981E-3</v>
      </c>
      <c r="B38" s="8">
        <f t="shared" si="0"/>
        <v>-0.22751348565248097</v>
      </c>
      <c r="C38" s="14">
        <v>-1.0536344367167445E-16</v>
      </c>
      <c r="D38" s="14">
        <v>-0.227513485652481</v>
      </c>
      <c r="E38" s="73"/>
    </row>
    <row r="39" spans="1:5" x14ac:dyDescent="0.4">
      <c r="A39" s="8">
        <v>3.4999999999999979E-3</v>
      </c>
      <c r="B39" s="8">
        <f t="shared" si="0"/>
        <v>-1.3655743202889425E-14</v>
      </c>
      <c r="C39" s="14">
        <v>6.1867602316014077E-17</v>
      </c>
      <c r="D39" s="14">
        <v>-1.3812030778972604E-14</v>
      </c>
      <c r="E39" s="73"/>
    </row>
    <row r="40" spans="1:5" x14ac:dyDescent="0.4">
      <c r="A40" s="8">
        <v>3.5999999999999977E-3</v>
      </c>
      <c r="B40" s="8">
        <f t="shared" si="0"/>
        <v>0.61681443984951445</v>
      </c>
      <c r="C40" s="14">
        <v>7.105427357601002E-17</v>
      </c>
      <c r="D40" s="14">
        <v>0.61681443984951456</v>
      </c>
      <c r="E40" s="73"/>
    </row>
    <row r="41" spans="1:5" x14ac:dyDescent="0.4">
      <c r="A41" s="8">
        <v>3.6999999999999976E-3</v>
      </c>
      <c r="B41" s="8">
        <f t="shared" si="0"/>
        <v>1.0301602860303181</v>
      </c>
      <c r="C41" s="14">
        <v>2.6757370155290537E-17</v>
      </c>
      <c r="D41" s="14">
        <v>1.0301602860303178</v>
      </c>
      <c r="E41" s="73"/>
    </row>
    <row r="42" spans="1:5" x14ac:dyDescent="0.4">
      <c r="A42" s="8">
        <v>3.7999999999999974E-3</v>
      </c>
      <c r="B42" s="8">
        <f t="shared" si="0"/>
        <v>0.77949381890173308</v>
      </c>
      <c r="C42" s="14">
        <v>-3.8818880870471715E-18</v>
      </c>
      <c r="D42" s="14">
        <v>0.77949381890173286</v>
      </c>
      <c r="E42" s="73"/>
    </row>
    <row r="43" spans="1:5" x14ac:dyDescent="0.4">
      <c r="A43" s="8">
        <v>3.8999999999999972E-3</v>
      </c>
      <c r="B43" s="8">
        <f t="shared" si="0"/>
        <v>-0.11943466551978663</v>
      </c>
      <c r="C43" s="14">
        <v>-4.9423929829264694E-17</v>
      </c>
      <c r="D43" s="14">
        <v>-0.11943466551978654</v>
      </c>
      <c r="E43" s="73"/>
    </row>
    <row r="44" spans="1:5" x14ac:dyDescent="0.4">
      <c r="A44" s="8">
        <v>3.9999999999999975E-3</v>
      </c>
      <c r="B44" s="8">
        <f t="shared" si="0"/>
        <v>-1.1755705045849174</v>
      </c>
      <c r="C44" s="14">
        <v>1.8663174481443523E-16</v>
      </c>
      <c r="D44" s="14">
        <v>-1.1755705045849172</v>
      </c>
      <c r="E44" s="73"/>
    </row>
    <row r="45" spans="1:5" x14ac:dyDescent="0.4">
      <c r="A45" s="8">
        <v>4.0999999999999977E-3</v>
      </c>
      <c r="B45" s="8">
        <f t="shared" si="0"/>
        <v>-1.7685399712040555</v>
      </c>
      <c r="C45" s="14">
        <v>2.0015695978088214E-16</v>
      </c>
      <c r="D45" s="14">
        <v>-1.768539971204055</v>
      </c>
      <c r="E45" s="73"/>
    </row>
    <row r="46" spans="1:5" x14ac:dyDescent="0.4">
      <c r="A46" s="8">
        <v>4.199999999999998E-3</v>
      </c>
      <c r="B46" s="8">
        <f t="shared" si="0"/>
        <v>-1.5893741583947247</v>
      </c>
      <c r="C46" s="14">
        <v>8.2896169870241552E-17</v>
      </c>
      <c r="D46" s="14">
        <v>-1.5893741583947245</v>
      </c>
      <c r="E46" s="73"/>
    </row>
    <row r="47" spans="1:5" x14ac:dyDescent="0.4">
      <c r="A47" s="8">
        <v>4.2999999999999983E-3</v>
      </c>
      <c r="B47" s="8">
        <f t="shared" si="0"/>
        <v>-0.85695401716439989</v>
      </c>
      <c r="C47" s="14">
        <v>2.1445432083001045E-16</v>
      </c>
      <c r="D47" s="14">
        <v>-0.85695401716439956</v>
      </c>
      <c r="E47" s="73"/>
    </row>
    <row r="48" spans="1:5" x14ac:dyDescent="0.4">
      <c r="A48" s="8">
        <v>4.3999999999999985E-3</v>
      </c>
      <c r="B48" s="8">
        <f t="shared" si="0"/>
        <v>-0.15369880292626437</v>
      </c>
      <c r="C48" s="14">
        <v>7.2184689466462927E-17</v>
      </c>
      <c r="D48" s="14">
        <v>-0.15369880292626434</v>
      </c>
      <c r="E48" s="73"/>
    </row>
    <row r="49" spans="1:5" x14ac:dyDescent="0.4">
      <c r="A49" s="8">
        <v>4.4999999999999988E-3</v>
      </c>
      <c r="B49" s="8">
        <f t="shared" si="0"/>
        <v>2.9976021664879227E-15</v>
      </c>
      <c r="C49" s="14">
        <v>2.7026029230665594E-16</v>
      </c>
      <c r="D49" s="14">
        <v>2.9578701003842487E-15</v>
      </c>
      <c r="E49" s="73"/>
    </row>
    <row r="50" spans="1:5" x14ac:dyDescent="0.4">
      <c r="A50" s="8">
        <v>4.5999999999999991E-3</v>
      </c>
      <c r="B50" s="8">
        <f t="shared" si="0"/>
        <v>-0.47620337281732872</v>
      </c>
      <c r="C50" s="14">
        <v>-1.4210854715202004E-16</v>
      </c>
      <c r="D50" s="14">
        <v>-0.47620337281732888</v>
      </c>
      <c r="E50" s="73"/>
    </row>
    <row r="51" spans="1:5" x14ac:dyDescent="0.4">
      <c r="A51" s="8">
        <v>4.6999999999999993E-3</v>
      </c>
      <c r="B51" s="8">
        <f t="shared" si="0"/>
        <v>-1.1663007800303982</v>
      </c>
      <c r="C51" s="14">
        <v>-9.4284844477193285E-17</v>
      </c>
      <c r="D51" s="14">
        <v>-1.1663007800303977</v>
      </c>
      <c r="E51" s="73"/>
    </row>
    <row r="52" spans="1:5" x14ac:dyDescent="0.4">
      <c r="A52" s="8">
        <v>4.7999999999999996E-3</v>
      </c>
      <c r="B52" s="8">
        <f t="shared" si="0"/>
        <v>-1.464040924830404</v>
      </c>
      <c r="C52" s="14">
        <v>-1.8634213209656344E-16</v>
      </c>
      <c r="D52" s="14">
        <v>-1.4640409248304036</v>
      </c>
      <c r="E52" s="73"/>
    </row>
    <row r="53" spans="1:5" x14ac:dyDescent="0.4">
      <c r="A53" s="8">
        <v>4.8999999999999998E-3</v>
      </c>
      <c r="B53" s="8">
        <f t="shared" si="0"/>
        <v>-1.0192031299406472</v>
      </c>
      <c r="C53" s="36">
        <v>-6.1101297632593094E-17</v>
      </c>
      <c r="D53" s="36">
        <v>-1.019203129940647</v>
      </c>
      <c r="E53" s="73"/>
    </row>
    <row r="54" spans="1:5" x14ac:dyDescent="0.4">
      <c r="A54" s="12">
        <v>5.0000000000000001E-3</v>
      </c>
      <c r="B54" s="12">
        <f t="shared" si="0"/>
        <v>-2.205267218835516E-15</v>
      </c>
      <c r="C54" s="54"/>
      <c r="D54" s="79"/>
    </row>
  </sheetData>
  <phoneticPr fontId="1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3F5E-058C-4A63-9AEA-4A90450408C0}">
  <sheetPr codeName="Sheet25"/>
  <dimension ref="A1:G22"/>
  <sheetViews>
    <sheetView workbookViewId="0"/>
  </sheetViews>
  <sheetFormatPr defaultRowHeight="18.75" x14ac:dyDescent="0.4"/>
  <sheetData>
    <row r="1" spans="1:7" x14ac:dyDescent="0.4">
      <c r="A1" t="s">
        <v>87</v>
      </c>
    </row>
    <row r="4" spans="1:7" x14ac:dyDescent="0.4">
      <c r="A4" s="59" t="s">
        <v>33</v>
      </c>
      <c r="B4" s="60"/>
      <c r="C4" s="59" t="s">
        <v>34</v>
      </c>
      <c r="D4" s="60"/>
      <c r="E4" s="61"/>
      <c r="G4" t="s">
        <v>110</v>
      </c>
    </row>
    <row r="5" spans="1:7" x14ac:dyDescent="0.4">
      <c r="A5" s="62" t="s">
        <v>108</v>
      </c>
      <c r="B5" s="62" t="s">
        <v>109</v>
      </c>
      <c r="C5" s="62" t="s">
        <v>108</v>
      </c>
      <c r="D5" s="62" t="s">
        <v>109</v>
      </c>
      <c r="E5" s="80" t="s">
        <v>7</v>
      </c>
    </row>
    <row r="6" spans="1:7" x14ac:dyDescent="0.4">
      <c r="A6" s="71">
        <v>500</v>
      </c>
      <c r="B6" s="71">
        <v>1E-4</v>
      </c>
      <c r="C6" s="16"/>
      <c r="D6" s="16"/>
      <c r="E6" s="16"/>
    </row>
    <row r="8" spans="1:7" x14ac:dyDescent="0.4">
      <c r="A8" s="62" t="s">
        <v>14</v>
      </c>
      <c r="B8" s="62" t="s">
        <v>15</v>
      </c>
      <c r="C8" s="62" t="s">
        <v>88</v>
      </c>
    </row>
    <row r="9" spans="1:7" x14ac:dyDescent="0.4">
      <c r="A9" s="4">
        <v>77.599999999999994</v>
      </c>
      <c r="B9" s="4">
        <v>10.07</v>
      </c>
      <c r="C9" s="17">
        <f t="shared" ref="C9:C22" si="0">C$6*(1-EXP(-D$6*A9))</f>
        <v>0</v>
      </c>
    </row>
    <row r="10" spans="1:7" x14ac:dyDescent="0.4">
      <c r="A10" s="8">
        <v>114.9</v>
      </c>
      <c r="B10" s="8">
        <v>14.73</v>
      </c>
      <c r="C10" s="18">
        <f t="shared" si="0"/>
        <v>0</v>
      </c>
    </row>
    <row r="11" spans="1:7" x14ac:dyDescent="0.4">
      <c r="A11" s="8">
        <v>141.1</v>
      </c>
      <c r="B11" s="8">
        <v>17.940000000000001</v>
      </c>
      <c r="C11" s="18">
        <f t="shared" si="0"/>
        <v>0</v>
      </c>
    </row>
    <row r="12" spans="1:7" x14ac:dyDescent="0.4">
      <c r="A12" s="8">
        <v>190.8</v>
      </c>
      <c r="B12" s="8">
        <v>23.93</v>
      </c>
      <c r="C12" s="18">
        <f t="shared" si="0"/>
        <v>0</v>
      </c>
    </row>
    <row r="13" spans="1:7" x14ac:dyDescent="0.4">
      <c r="A13" s="8">
        <v>239.9</v>
      </c>
      <c r="B13" s="8">
        <v>29.61</v>
      </c>
      <c r="C13" s="18">
        <f t="shared" si="0"/>
        <v>0</v>
      </c>
    </row>
    <row r="14" spans="1:7" x14ac:dyDescent="0.4">
      <c r="A14" s="8">
        <v>289</v>
      </c>
      <c r="B14" s="8">
        <v>35.18</v>
      </c>
      <c r="C14" s="18">
        <f t="shared" si="0"/>
        <v>0</v>
      </c>
    </row>
    <row r="15" spans="1:7" x14ac:dyDescent="0.4">
      <c r="A15" s="8">
        <v>332.8</v>
      </c>
      <c r="B15" s="8">
        <v>40.020000000000003</v>
      </c>
      <c r="C15" s="18">
        <f t="shared" si="0"/>
        <v>0</v>
      </c>
    </row>
    <row r="16" spans="1:7" x14ac:dyDescent="0.4">
      <c r="A16" s="8">
        <v>378.4</v>
      </c>
      <c r="B16" s="8">
        <v>44.82</v>
      </c>
      <c r="C16" s="18">
        <f t="shared" si="0"/>
        <v>0</v>
      </c>
    </row>
    <row r="17" spans="1:3" x14ac:dyDescent="0.4">
      <c r="A17" s="8">
        <v>434.8</v>
      </c>
      <c r="B17" s="8">
        <v>50.76</v>
      </c>
      <c r="C17" s="18">
        <f t="shared" si="0"/>
        <v>0</v>
      </c>
    </row>
    <row r="18" spans="1:3" x14ac:dyDescent="0.4">
      <c r="A18" s="8">
        <v>477.3</v>
      </c>
      <c r="B18" s="8">
        <v>55.05</v>
      </c>
      <c r="C18" s="18">
        <f t="shared" si="0"/>
        <v>0</v>
      </c>
    </row>
    <row r="19" spans="1:3" x14ac:dyDescent="0.4">
      <c r="A19" s="8">
        <v>536.79999999999995</v>
      </c>
      <c r="B19" s="8">
        <v>61.01</v>
      </c>
      <c r="C19" s="18">
        <f t="shared" si="0"/>
        <v>0</v>
      </c>
    </row>
    <row r="20" spans="1:3" x14ac:dyDescent="0.4">
      <c r="A20" s="8">
        <v>593.1</v>
      </c>
      <c r="B20" s="8">
        <v>66.400000000000006</v>
      </c>
      <c r="C20" s="18">
        <f t="shared" si="0"/>
        <v>0</v>
      </c>
    </row>
    <row r="21" spans="1:3" x14ac:dyDescent="0.4">
      <c r="A21" s="8">
        <v>689.1</v>
      </c>
      <c r="B21" s="8">
        <v>75.47</v>
      </c>
      <c r="C21" s="18">
        <f t="shared" si="0"/>
        <v>0</v>
      </c>
    </row>
    <row r="22" spans="1:3" x14ac:dyDescent="0.4">
      <c r="A22" s="12">
        <v>760</v>
      </c>
      <c r="B22" s="12">
        <v>81.78</v>
      </c>
      <c r="C22" s="19">
        <f t="shared" si="0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14.Start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2</xdr:col>
                    <xdr:colOff>676275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14.Clear">
                <anchor moveWithCells="1" sizeWithCells="1">
                  <from>
                    <xdr:col>3</xdr:col>
                    <xdr:colOff>676275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C585D-F611-4034-809D-EE8A4C74C144}">
  <sheetPr codeName="Sheet26"/>
  <dimension ref="A1:F34"/>
  <sheetViews>
    <sheetView workbookViewId="0"/>
  </sheetViews>
  <sheetFormatPr defaultRowHeight="18.75" x14ac:dyDescent="0.4"/>
  <sheetData>
    <row r="1" spans="1:6" x14ac:dyDescent="0.4">
      <c r="A1" t="s">
        <v>89</v>
      </c>
    </row>
    <row r="3" spans="1:6" x14ac:dyDescent="0.4">
      <c r="A3" s="59" t="s">
        <v>33</v>
      </c>
      <c r="B3" s="60"/>
    </row>
    <row r="4" spans="1:6" x14ac:dyDescent="0.4">
      <c r="A4" s="62" t="s">
        <v>91</v>
      </c>
      <c r="B4" s="62" t="s">
        <v>92</v>
      </c>
    </row>
    <row r="5" spans="1:6" x14ac:dyDescent="0.4">
      <c r="A5" s="71">
        <v>500</v>
      </c>
      <c r="B5" s="71">
        <v>1E-4</v>
      </c>
    </row>
    <row r="7" spans="1:6" x14ac:dyDescent="0.4">
      <c r="A7" s="65" t="s">
        <v>38</v>
      </c>
      <c r="B7" s="39">
        <v>2</v>
      </c>
      <c r="C7" s="66"/>
    </row>
    <row r="8" spans="1:6" x14ac:dyDescent="0.4">
      <c r="A8" s="67" t="s">
        <v>90</v>
      </c>
      <c r="B8" s="81"/>
      <c r="C8" s="16"/>
      <c r="F8" t="s">
        <v>110</v>
      </c>
    </row>
    <row r="10" spans="1:6" x14ac:dyDescent="0.4">
      <c r="A10" s="62" t="s">
        <v>14</v>
      </c>
      <c r="B10" s="62" t="s">
        <v>15</v>
      </c>
      <c r="C10" s="62" t="s">
        <v>88</v>
      </c>
      <c r="D10" s="62" t="s">
        <v>94</v>
      </c>
    </row>
    <row r="11" spans="1:6" x14ac:dyDescent="0.4">
      <c r="A11" s="4">
        <v>77.599999999999994</v>
      </c>
      <c r="B11" s="4">
        <v>10.07</v>
      </c>
      <c r="C11" s="4">
        <f>B$8*(1-EXP(-C$8*A11))</f>
        <v>0</v>
      </c>
      <c r="D11" s="17">
        <f>B11-C11</f>
        <v>10.07</v>
      </c>
    </row>
    <row r="12" spans="1:6" x14ac:dyDescent="0.4">
      <c r="A12" s="8">
        <v>114.9</v>
      </c>
      <c r="B12" s="8">
        <v>14.73</v>
      </c>
      <c r="C12" s="8">
        <f t="shared" ref="C12:C24" si="0">B$8*(1-EXP(-C$8*A12))</f>
        <v>0</v>
      </c>
      <c r="D12" s="18">
        <f t="shared" ref="D12:D24" si="1">B12-C12</f>
        <v>14.73</v>
      </c>
    </row>
    <row r="13" spans="1:6" x14ac:dyDescent="0.4">
      <c r="A13" s="8">
        <v>141.1</v>
      </c>
      <c r="B13" s="8">
        <v>17.940000000000001</v>
      </c>
      <c r="C13" s="8">
        <f t="shared" si="0"/>
        <v>0</v>
      </c>
      <c r="D13" s="18">
        <f t="shared" si="1"/>
        <v>17.940000000000001</v>
      </c>
    </row>
    <row r="14" spans="1:6" x14ac:dyDescent="0.4">
      <c r="A14" s="8">
        <v>190.8</v>
      </c>
      <c r="B14" s="8">
        <v>23.93</v>
      </c>
      <c r="C14" s="8">
        <f t="shared" si="0"/>
        <v>0</v>
      </c>
      <c r="D14" s="18">
        <f t="shared" si="1"/>
        <v>23.93</v>
      </c>
    </row>
    <row r="15" spans="1:6" x14ac:dyDescent="0.4">
      <c r="A15" s="8">
        <v>239.9</v>
      </c>
      <c r="B15" s="8">
        <v>29.61</v>
      </c>
      <c r="C15" s="8">
        <f t="shared" si="0"/>
        <v>0</v>
      </c>
      <c r="D15" s="18">
        <f t="shared" si="1"/>
        <v>29.61</v>
      </c>
    </row>
    <row r="16" spans="1:6" x14ac:dyDescent="0.4">
      <c r="A16" s="8">
        <v>289</v>
      </c>
      <c r="B16" s="8">
        <v>35.18</v>
      </c>
      <c r="C16" s="8">
        <f t="shared" si="0"/>
        <v>0</v>
      </c>
      <c r="D16" s="18">
        <f t="shared" si="1"/>
        <v>35.18</v>
      </c>
    </row>
    <row r="17" spans="1:4" x14ac:dyDescent="0.4">
      <c r="A17" s="8">
        <v>332.8</v>
      </c>
      <c r="B17" s="8">
        <v>40.020000000000003</v>
      </c>
      <c r="C17" s="8">
        <f t="shared" si="0"/>
        <v>0</v>
      </c>
      <c r="D17" s="18">
        <f t="shared" si="1"/>
        <v>40.020000000000003</v>
      </c>
    </row>
    <row r="18" spans="1:4" x14ac:dyDescent="0.4">
      <c r="A18" s="8">
        <v>378.4</v>
      </c>
      <c r="B18" s="8">
        <v>44.82</v>
      </c>
      <c r="C18" s="8">
        <f t="shared" si="0"/>
        <v>0</v>
      </c>
      <c r="D18" s="18">
        <f t="shared" si="1"/>
        <v>44.82</v>
      </c>
    </row>
    <row r="19" spans="1:4" x14ac:dyDescent="0.4">
      <c r="A19" s="8">
        <v>434.8</v>
      </c>
      <c r="B19" s="8">
        <v>50.76</v>
      </c>
      <c r="C19" s="8">
        <f t="shared" si="0"/>
        <v>0</v>
      </c>
      <c r="D19" s="18">
        <f t="shared" si="1"/>
        <v>50.76</v>
      </c>
    </row>
    <row r="20" spans="1:4" x14ac:dyDescent="0.4">
      <c r="A20" s="8">
        <v>477.3</v>
      </c>
      <c r="B20" s="8">
        <v>55.05</v>
      </c>
      <c r="C20" s="8">
        <f t="shared" si="0"/>
        <v>0</v>
      </c>
      <c r="D20" s="18">
        <f t="shared" si="1"/>
        <v>55.05</v>
      </c>
    </row>
    <row r="21" spans="1:4" x14ac:dyDescent="0.4">
      <c r="A21" s="8">
        <v>536.79999999999995</v>
      </c>
      <c r="B21" s="8">
        <v>61.01</v>
      </c>
      <c r="C21" s="8">
        <f t="shared" si="0"/>
        <v>0</v>
      </c>
      <c r="D21" s="18">
        <f t="shared" si="1"/>
        <v>61.01</v>
      </c>
    </row>
    <row r="22" spans="1:4" x14ac:dyDescent="0.4">
      <c r="A22" s="8">
        <v>593.1</v>
      </c>
      <c r="B22" s="8">
        <v>66.400000000000006</v>
      </c>
      <c r="C22" s="8">
        <f t="shared" si="0"/>
        <v>0</v>
      </c>
      <c r="D22" s="18">
        <f t="shared" si="1"/>
        <v>66.400000000000006</v>
      </c>
    </row>
    <row r="23" spans="1:4" x14ac:dyDescent="0.4">
      <c r="A23" s="8">
        <v>689.1</v>
      </c>
      <c r="B23" s="8">
        <v>75.47</v>
      </c>
      <c r="C23" s="8">
        <f t="shared" si="0"/>
        <v>0</v>
      </c>
      <c r="D23" s="18">
        <f t="shared" si="1"/>
        <v>75.47</v>
      </c>
    </row>
    <row r="24" spans="1:4" x14ac:dyDescent="0.4">
      <c r="A24" s="12">
        <v>760</v>
      </c>
      <c r="B24" s="12">
        <v>81.78</v>
      </c>
      <c r="C24" s="12">
        <f t="shared" si="0"/>
        <v>0</v>
      </c>
      <c r="D24" s="19">
        <f t="shared" si="1"/>
        <v>81.78</v>
      </c>
    </row>
    <row r="26" spans="1:4" x14ac:dyDescent="0.4">
      <c r="A26" s="86">
        <v>14</v>
      </c>
    </row>
    <row r="27" spans="1:4" x14ac:dyDescent="0.4">
      <c r="A27" s="87">
        <v>2</v>
      </c>
    </row>
    <row r="28" spans="1:4" x14ac:dyDescent="0.4">
      <c r="A28" s="87" t="s">
        <v>41</v>
      </c>
    </row>
    <row r="29" spans="1:4" x14ac:dyDescent="0.4">
      <c r="A29" s="87" t="s">
        <v>93</v>
      </c>
    </row>
    <row r="30" spans="1:4" x14ac:dyDescent="0.4">
      <c r="A30" s="87" t="s">
        <v>43</v>
      </c>
    </row>
    <row r="31" spans="1:4" x14ac:dyDescent="0.4">
      <c r="A31" s="87" t="s">
        <v>44</v>
      </c>
    </row>
    <row r="32" spans="1:4" x14ac:dyDescent="0.4">
      <c r="A32" s="87" t="s">
        <v>43</v>
      </c>
    </row>
    <row r="33" spans="1:1" x14ac:dyDescent="0.4">
      <c r="A33" s="87">
        <v>1E-8</v>
      </c>
    </row>
    <row r="34" spans="1:1" x14ac:dyDescent="0.4">
      <c r="A34" s="88">
        <v>1</v>
      </c>
    </row>
  </sheetData>
  <phoneticPr fontId="1"/>
  <dataValidations count="1">
    <dataValidation type="whole" allowBlank="1" showInputMessage="1" showErrorMessage="1" sqref="B7" xr:uid="{9F999828-6319-4D5D-8DEB-DB3FBEA9BB30}">
      <formula1>1</formula1>
      <formula2>4</formula2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30</vt:i4>
      </vt:variant>
    </vt:vector>
  </HeadingPairs>
  <TitlesOfParts>
    <vt:vector size="30" baseType="lpstr">
      <vt:lpstr>Ex2</vt:lpstr>
      <vt:lpstr>Ex2W</vt:lpstr>
      <vt:lpstr>Ex3</vt:lpstr>
      <vt:lpstr>Ex3W</vt:lpstr>
      <vt:lpstr>Ex4</vt:lpstr>
      <vt:lpstr>Ex4W</vt:lpstr>
      <vt:lpstr>Ex5</vt:lpstr>
      <vt:lpstr>Ex5W</vt:lpstr>
      <vt:lpstr>Ex6</vt:lpstr>
      <vt:lpstr>Ex6W</vt:lpstr>
      <vt:lpstr>Ex7</vt:lpstr>
      <vt:lpstr>Ex7S</vt:lpstr>
      <vt:lpstr>Ex8</vt:lpstr>
      <vt:lpstr>Ex8S</vt:lpstr>
      <vt:lpstr>Ex8(2)</vt:lpstr>
      <vt:lpstr>Ex9</vt:lpstr>
      <vt:lpstr>Ex9S</vt:lpstr>
      <vt:lpstr>Ex10</vt:lpstr>
      <vt:lpstr>Ex10S</vt:lpstr>
      <vt:lpstr>Ex11</vt:lpstr>
      <vt:lpstr>Ex11S</vt:lpstr>
      <vt:lpstr>Ex11(2)</vt:lpstr>
      <vt:lpstr>Ex11W(2)</vt:lpstr>
      <vt:lpstr>Ex12</vt:lpstr>
      <vt:lpstr>Ex12S</vt:lpstr>
      <vt:lpstr>Ex12(2)</vt:lpstr>
      <vt:lpstr>Ex12S(2)</vt:lpstr>
      <vt:lpstr>Ex13</vt:lpstr>
      <vt:lpstr>Ex14</vt:lpstr>
      <vt:lpstr>Ex14S</vt:lpstr>
    </vt:vector>
  </TitlesOfParts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XLPack tutorial samples</dc:title>
  <dc:creator>User</dc:creator>
  <cp:lastModifiedBy>User</cp:lastModifiedBy>
  <dcterms:created xsi:type="dcterms:W3CDTF">2022-10-02T08:45:55Z</dcterms:created>
  <dcterms:modified xsi:type="dcterms:W3CDTF">2022-11-02T10:07:58Z</dcterms:modified>
</cp:coreProperties>
</file>